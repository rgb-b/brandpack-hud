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loise.Bartrop\Desktop\Ideal Solution 2025\"/>
    </mc:Choice>
  </mc:AlternateContent>
  <xr:revisionPtr revIDLastSave="0" documentId="13_ncr:1_{104F51EF-7D31-4333-96B8-DD5F9D74D363}" xr6:coauthVersionLast="47" xr6:coauthVersionMax="47" xr10:uidLastSave="{00000000-0000-0000-0000-000000000000}"/>
  <bookViews>
    <workbookView xWindow="-120" yWindow="-120" windowWidth="19440" windowHeight="14880" tabRatio="500" firstSheet="1" activeTab="1" xr2:uid="{00000000-000D-0000-FFFF-FFFF00000000}"/>
  </bookViews>
  <sheets>
    <sheet name="SpotOn Media &amp; Epson Inks" sheetId="3" r:id="rId1"/>
    <sheet name="CGS Flexpak Web Inks &amp; Media" sheetId="1" r:id="rId2"/>
    <sheet name="JetComp Solvent Media" sheetId="2" r:id="rId3"/>
  </sheets>
  <definedNames>
    <definedName name="_xlnm.Print_Area" localSheetId="1">'CGS Flexpak Web Inks &amp; Media'!$A$1:$F$67</definedName>
    <definedName name="_xlnm.Print_Area" localSheetId="2">'JetComp Solvent Media'!$A$1:$F$73</definedName>
    <definedName name="_xlnm.Print_Area" localSheetId="0">'SpotOn Media &amp; Epson Inks'!$A$1:$F$79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7" i="3" l="1"/>
  <c r="F65" i="3"/>
  <c r="F64" i="3"/>
  <c r="F63" i="3"/>
  <c r="F62" i="3"/>
  <c r="F61" i="3"/>
  <c r="F60" i="3"/>
  <c r="F59" i="3"/>
  <c r="F58" i="3"/>
  <c r="F57" i="3"/>
  <c r="F56" i="3"/>
  <c r="F55" i="3"/>
  <c r="F54" i="3"/>
  <c r="F40" i="1"/>
  <c r="F39" i="1"/>
  <c r="F38" i="1"/>
  <c r="F42" i="1"/>
  <c r="F35" i="1"/>
  <c r="F36" i="1"/>
  <c r="F46" i="1"/>
  <c r="F50" i="1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21" i="1"/>
  <c r="F22" i="1"/>
  <c r="F23" i="1"/>
  <c r="F24" i="1"/>
  <c r="F25" i="1"/>
  <c r="F26" i="1"/>
  <c r="F32" i="1"/>
  <c r="F33" i="1"/>
  <c r="F47" i="1"/>
  <c r="F48" i="1"/>
  <c r="F49" i="1"/>
  <c r="F51" i="1"/>
  <c r="F52" i="1"/>
  <c r="F53" i="1"/>
  <c r="F54" i="1"/>
  <c r="F55" i="1"/>
  <c r="F56" i="1"/>
  <c r="F57" i="1"/>
  <c r="F58" i="1"/>
  <c r="F59" i="1"/>
  <c r="F60" i="1"/>
  <c r="F61" i="1"/>
  <c r="F62" i="1"/>
  <c r="F22" i="3"/>
  <c r="F23" i="3"/>
  <c r="F26" i="3"/>
  <c r="F27" i="3"/>
  <c r="F30" i="3"/>
  <c r="F31" i="3"/>
  <c r="F34" i="3"/>
  <c r="F39" i="3"/>
  <c r="F40" i="3"/>
  <c r="F41" i="3"/>
  <c r="F42" i="3"/>
  <c r="F43" i="3"/>
  <c r="F44" i="3"/>
  <c r="F45" i="3"/>
  <c r="F46" i="3"/>
  <c r="F47" i="3"/>
  <c r="F48" i="3"/>
  <c r="F49" i="3"/>
  <c r="F72" i="3"/>
  <c r="F73" i="3"/>
  <c r="F75" i="3"/>
  <c r="F71" i="2"/>
  <c r="F65" i="1"/>
  <c r="F78" i="3"/>
</calcChain>
</file>

<file path=xl/sharedStrings.xml><?xml version="1.0" encoding="utf-8"?>
<sst xmlns="http://schemas.openxmlformats.org/spreadsheetml/2006/main" count="429" uniqueCount="258">
  <si>
    <t>Product Code</t>
  </si>
  <si>
    <t>Size</t>
  </si>
  <si>
    <t>Description</t>
  </si>
  <si>
    <t>E-SACP0075/24/50</t>
  </si>
  <si>
    <t>50m, 24", 75um</t>
  </si>
  <si>
    <t>ORIS Media Adhesive Clear Polyester 0075, 75um, 24inch, 50m roll</t>
  </si>
  <si>
    <t>E-SMPG235/24/45</t>
  </si>
  <si>
    <t>45m, 24", 235g/m</t>
  </si>
  <si>
    <t>ORIS Media Solvent Glossy Paper 235PE, Double sided, Poly coated 235g/m</t>
  </si>
  <si>
    <t>E-SMPG235/30/45</t>
  </si>
  <si>
    <t>45m, 30", 235g/m</t>
  </si>
  <si>
    <t>30m, 24", 80um</t>
  </si>
  <si>
    <t>E-STF030G/24/30</t>
  </si>
  <si>
    <t>30m, 24", 30um</t>
  </si>
  <si>
    <t>ORIS Media Transfer film (90-170C) Heat transferable mechanical primer for solvent printers</t>
  </si>
  <si>
    <t>E-STF030G/48/30</t>
  </si>
  <si>
    <t>30m, 48", 30um</t>
  </si>
  <si>
    <t>E-SEF/24/30</t>
  </si>
  <si>
    <t>10m, 20"</t>
  </si>
  <si>
    <t>ORIS Media Embossing Foil Matte for Transfer Film III/90 + IV/90, 20inch</t>
  </si>
  <si>
    <t>E-SEFSM/24/30</t>
  </si>
  <si>
    <t>10m, 20",</t>
  </si>
  <si>
    <t>50 sheets (61x86cm)</t>
  </si>
  <si>
    <t>50m, 24", 75Au</t>
  </si>
  <si>
    <t>E-SWV010/30/40</t>
  </si>
  <si>
    <t>40m, 30", 100Au</t>
  </si>
  <si>
    <t>45m, 30", 235</t>
  </si>
  <si>
    <t>ORIS Media Solvent Semimatte Paper 235 PE 30inch x 45m</t>
  </si>
  <si>
    <t>45m, 24", 235</t>
  </si>
  <si>
    <t>ORIS Media Solvent Semimatte Paper 235 PE 24inch x 45m</t>
  </si>
  <si>
    <t>30m, 24"</t>
  </si>
  <si>
    <t>8506-24-100</t>
  </si>
  <si>
    <t xml:space="preserve"> 24" 30m roll</t>
  </si>
  <si>
    <t xml:space="preserve">Label Films: 2mil Invisible Poly PS </t>
  </si>
  <si>
    <t>8512-24-100</t>
  </si>
  <si>
    <t>Label Films: 2mil Mirror Poly Label</t>
  </si>
  <si>
    <t>8502-24-100</t>
  </si>
  <si>
    <t>Clear Films: 2mil Clear Poly Film</t>
  </si>
  <si>
    <t>8504-24-100</t>
  </si>
  <si>
    <t>Clear Films: 1.5mil Clear LDPE Film</t>
  </si>
  <si>
    <t>8511-24-100</t>
  </si>
  <si>
    <t xml:space="preserve">Clear Films: 3mil Clear Poly Pouch Film </t>
  </si>
  <si>
    <t>8503-24-100</t>
  </si>
  <si>
    <t xml:space="preserve">White Films: 2mil White Poly, Cavitated  </t>
  </si>
  <si>
    <t>8513-24-100</t>
  </si>
  <si>
    <t xml:space="preserve">White Films:  3mil White Poly Pouch Film </t>
  </si>
  <si>
    <t>8520-24-100</t>
  </si>
  <si>
    <r>
      <t xml:space="preserve"> 24" 30m roll </t>
    </r>
    <r>
      <rPr>
        <sz val="10"/>
        <color rgb="FFFF0000"/>
        <rFont val="Helvetica"/>
        <family val="2"/>
      </rPr>
      <t>NEW</t>
    </r>
  </si>
  <si>
    <t>8515-24-100</t>
  </si>
  <si>
    <t xml:space="preserve">White Films:  2mil White LDPE Freezer Bag Film </t>
  </si>
  <si>
    <t xml:space="preserve">8509-24-100 </t>
  </si>
  <si>
    <t xml:space="preserve">White Films:  2mil White Metallized Poly Film </t>
  </si>
  <si>
    <t>8415-24-150</t>
  </si>
  <si>
    <t>24" x 38" 25 sheets</t>
  </si>
  <si>
    <t xml:space="preserve">Board Stock: 15pt. C1S Board Stock </t>
  </si>
  <si>
    <t>8517-24-100</t>
  </si>
  <si>
    <t xml:space="preserve">Shrink Films: 2mil PETG Shrink Film  </t>
  </si>
  <si>
    <t>8518-24-100</t>
  </si>
  <si>
    <t>Shrink Films: 2.5mil HDPE Case Wrap Shrink Film</t>
  </si>
  <si>
    <t>8507-24-100</t>
  </si>
  <si>
    <t xml:space="preserve">Shrink Films: 2mil PVC High Shrink Film </t>
  </si>
  <si>
    <t>8527-24-100</t>
  </si>
  <si>
    <t xml:space="preserve">Shrink Films: 2mil Special Application PVC Shrink Film </t>
  </si>
  <si>
    <t>8514-24-100</t>
  </si>
  <si>
    <t>Shrink Films:  2mil White PVC Shrink Film</t>
  </si>
  <si>
    <t>8508-24-100</t>
  </si>
  <si>
    <t xml:space="preserve">Metallized Films: 2 mil Metallized Poly Film </t>
  </si>
  <si>
    <t>8301-24-100</t>
  </si>
  <si>
    <t xml:space="preserve">Matte Heat Transfer Media </t>
  </si>
  <si>
    <t>8200-24-100</t>
  </si>
  <si>
    <t>1mil Clear PET Over-Lam film</t>
  </si>
  <si>
    <t>8201-24-100</t>
  </si>
  <si>
    <t>1mil Matte PET Over-Lam film</t>
  </si>
  <si>
    <r>
      <t xml:space="preserve">White Films:  2mil White Poly Pouch Film </t>
    </r>
    <r>
      <rPr>
        <sz val="10"/>
        <color rgb="FFFF0000"/>
        <rFont val="Helvetica Neue"/>
        <family val="2"/>
      </rPr>
      <t>NEW ideal application: for pouching applications</t>
    </r>
  </si>
  <si>
    <t>E-SMPSM235N/30/45</t>
  </si>
  <si>
    <t>E-SMPSM235N/24/45</t>
  </si>
  <si>
    <t>E-PCCBSM/6186</t>
  </si>
  <si>
    <t>ORIS Media Pre-coated Cardboard Semi-matte (50 pc) Format 61 x 86 cm</t>
  </si>
  <si>
    <t>Pen</t>
  </si>
  <si>
    <t>Seaming Pen for Shrink Films</t>
  </si>
  <si>
    <t>CONFIDENTIAL</t>
  </si>
  <si>
    <r>
      <t xml:space="preserve">CGS Flex Pack </t>
    </r>
    <r>
      <rPr>
        <b/>
        <sz val="12"/>
        <color rgb="FFFF0000"/>
        <rFont val="Helvetica Neue"/>
        <family val="2"/>
      </rPr>
      <t>MEDIA</t>
    </r>
  </si>
  <si>
    <t>8510-24-100</t>
  </si>
  <si>
    <t>Label Films: 2mil White Poly Label</t>
  </si>
  <si>
    <r>
      <t xml:space="preserve">JetComp 24" </t>
    </r>
    <r>
      <rPr>
        <b/>
        <sz val="12"/>
        <color rgb="FFFF0000"/>
        <rFont val="Helvetica Neue"/>
        <family val="2"/>
      </rPr>
      <t>MEDIA</t>
    </r>
  </si>
  <si>
    <r>
      <t xml:space="preserve">JetComp 52" </t>
    </r>
    <r>
      <rPr>
        <b/>
        <sz val="12"/>
        <color rgb="FFFF0000"/>
        <rFont val="Helvetica Neue"/>
        <family val="2"/>
      </rPr>
      <t>MEDIA</t>
    </r>
  </si>
  <si>
    <t>8506-52-100</t>
  </si>
  <si>
    <t>8512-52-100</t>
  </si>
  <si>
    <t>8510-52-100</t>
  </si>
  <si>
    <t>8502-52-100</t>
  </si>
  <si>
    <t>8504-52-100</t>
  </si>
  <si>
    <t>8511-52-100</t>
  </si>
  <si>
    <t>8503-52-100</t>
  </si>
  <si>
    <t>8513-52-100</t>
  </si>
  <si>
    <t>8520-52-100</t>
  </si>
  <si>
    <t>8515-52-100</t>
  </si>
  <si>
    <t xml:space="preserve">8509-52-100 </t>
  </si>
  <si>
    <t>8517-52-100</t>
  </si>
  <si>
    <t>8507-52-100</t>
  </si>
  <si>
    <t>8527-52-100</t>
  </si>
  <si>
    <t>8514-52-100</t>
  </si>
  <si>
    <t>8508-52-100</t>
  </si>
  <si>
    <t>8301-52-100</t>
  </si>
  <si>
    <t>ORIS Media White Vinyl Glossy 010 Adhesive vinyl, wide gamut, ultra-quick drying</t>
  </si>
  <si>
    <t>ORIS Media Clear Poly Shrink Foil, FS0070. Thickness: Polyester 30um, Emulsion 30um  24 inch, 30 metre roll</t>
  </si>
  <si>
    <t>ORIS Media Embossing Foil Semi Matte for Transfer Film III/90 + IV/90, 20inch</t>
  </si>
  <si>
    <r>
      <t xml:space="preserve">Epson 9900 </t>
    </r>
    <r>
      <rPr>
        <b/>
        <sz val="12"/>
        <color rgb="FFFF0000"/>
        <rFont val="Helvetica Neue"/>
        <family val="2"/>
      </rPr>
      <t>INK</t>
    </r>
  </si>
  <si>
    <t>T636100</t>
  </si>
  <si>
    <t>700ml</t>
  </si>
  <si>
    <t>Ultrachrome K3 Photo Black</t>
  </si>
  <si>
    <t>T636200</t>
  </si>
  <si>
    <t>Ultrachrome K3 Cyan</t>
  </si>
  <si>
    <t>T636300</t>
  </si>
  <si>
    <t>Ultrachrome K3 Vivid Magenta</t>
  </si>
  <si>
    <t>T636400</t>
  </si>
  <si>
    <t>Ultrachrome K3 Yellow</t>
  </si>
  <si>
    <t>T636500</t>
  </si>
  <si>
    <t>Ultrachrome K3 Light Cyan</t>
  </si>
  <si>
    <t>T636600</t>
  </si>
  <si>
    <t>Ultrachrome K3 Vivid Light Magenta</t>
  </si>
  <si>
    <t>T636700</t>
  </si>
  <si>
    <t>Ultrachrome K3 Light Black</t>
  </si>
  <si>
    <t>T636800</t>
  </si>
  <si>
    <t>Ultrachrome K3 Matte Black</t>
  </si>
  <si>
    <t>T636900</t>
  </si>
  <si>
    <t>Ultrachrome K3 Light Light Black</t>
  </si>
  <si>
    <t>T636A00</t>
  </si>
  <si>
    <t>Ultrachrome K3 Orange</t>
  </si>
  <si>
    <t>T636B00</t>
  </si>
  <si>
    <t>Ultrachrome K3 Green</t>
  </si>
  <si>
    <t>C12C890191</t>
  </si>
  <si>
    <t xml:space="preserve"> 52" 30m roll</t>
  </si>
  <si>
    <r>
      <t xml:space="preserve"> 52" 30m roll </t>
    </r>
    <r>
      <rPr>
        <sz val="10"/>
        <color rgb="FFFF0000"/>
        <rFont val="Helvetica"/>
        <family val="2"/>
      </rPr>
      <t>NEW</t>
    </r>
  </si>
  <si>
    <t>8300-52-100</t>
  </si>
  <si>
    <t xml:space="preserve">Gloss Heat Transfer Media </t>
  </si>
  <si>
    <t>8501-52-100</t>
  </si>
  <si>
    <t>Clear Films: 1mil Clear Poly Film</t>
  </si>
  <si>
    <r>
      <t>E-SPFM65/24/30</t>
    </r>
    <r>
      <rPr>
        <sz val="10"/>
        <color rgb="FFFF0000"/>
        <rFont val="Helvetica Neue"/>
        <family val="2"/>
      </rPr>
      <t xml:space="preserve"> </t>
    </r>
  </si>
  <si>
    <r>
      <t>E-SPFT65/24/30</t>
    </r>
    <r>
      <rPr>
        <sz val="10"/>
        <color rgb="FFFF0000"/>
        <rFont val="Helvetica Neue"/>
        <family val="2"/>
      </rPr>
      <t xml:space="preserve"> </t>
    </r>
  </si>
  <si>
    <r>
      <t>E-SPFW65/24/30</t>
    </r>
    <r>
      <rPr>
        <sz val="10"/>
        <color rgb="FFFF0000"/>
        <rFont val="Helvetica Neue"/>
        <family val="2"/>
      </rPr>
      <t xml:space="preserve"> </t>
    </r>
  </si>
  <si>
    <t>8416-24-150</t>
  </si>
  <si>
    <r>
      <t xml:space="preserve">SpotOn &amp; CGS ISO Paper for Aqueos Printers (9900, P9070) </t>
    </r>
    <r>
      <rPr>
        <b/>
        <sz val="12"/>
        <color rgb="FFFF0000"/>
        <rFont val="Helvetica Neue"/>
        <family val="2"/>
      </rPr>
      <t>MEDIA</t>
    </r>
  </si>
  <si>
    <t>SpotOn Water Resistent Clear Overlay</t>
  </si>
  <si>
    <t>IMCF120G44</t>
  </si>
  <si>
    <t>IMCF120G36</t>
  </si>
  <si>
    <t>SpotOn Glossy Water Resistant Clear Overlay 44" x 45m</t>
  </si>
  <si>
    <t>SpotOn Glossy Water Resistant Clear Overlay 36" x 45m</t>
  </si>
  <si>
    <t>SpotOn &amp; CGS Matte Coated</t>
  </si>
  <si>
    <t>E-PM120/44/45</t>
  </si>
  <si>
    <t>Matte Coated 120gsm 44" x 45m</t>
  </si>
  <si>
    <t>610mm x 45m</t>
  </si>
  <si>
    <t>914mm x 45m</t>
  </si>
  <si>
    <t>1.118mm x 45m</t>
  </si>
  <si>
    <t>PLEASE NOTE ONLY SOME OF THESE 52" ROLLS ARE KEPT IN STOCK - BY REQUEST ONLY</t>
  </si>
  <si>
    <r>
      <t xml:space="preserve">Board Stock: 16pt. C1S Metallized Board Stock </t>
    </r>
    <r>
      <rPr>
        <sz val="10"/>
        <color rgb="FFFF0000"/>
        <rFont val="Helvetica Neue"/>
        <family val="2"/>
      </rPr>
      <t>NEW ieal for any structural packaging metalised</t>
    </r>
    <r>
      <rPr>
        <sz val="10"/>
        <rFont val="Helvetica Neue"/>
        <family val="2"/>
      </rPr>
      <t xml:space="preserve"> </t>
    </r>
  </si>
  <si>
    <t>Effective</t>
  </si>
  <si>
    <t>220ml</t>
  </si>
  <si>
    <r>
      <t xml:space="preserve">Epson WT7900 </t>
    </r>
    <r>
      <rPr>
        <b/>
        <sz val="12"/>
        <color rgb="FFFF0000"/>
        <rFont val="Helvetica Neue"/>
        <family val="2"/>
      </rPr>
      <t>INK</t>
    </r>
  </si>
  <si>
    <t>T596C00</t>
  </si>
  <si>
    <t>350ml</t>
  </si>
  <si>
    <t>Ultrachrome HDR White Pigment</t>
  </si>
  <si>
    <t>C13T642000</t>
  </si>
  <si>
    <t>150ml</t>
  </si>
  <si>
    <t>150ml UltraChrome HDR Cleaning Cartride</t>
  </si>
  <si>
    <t>Epson Maintenance Tank for 9600, 9900, WT7900</t>
  </si>
  <si>
    <t>Epson Media</t>
  </si>
  <si>
    <t>C13S042372</t>
  </si>
  <si>
    <t>120gsm x 30m</t>
  </si>
  <si>
    <t>Epson ClearProof 156/m2 24 Inch x 30m (610mm)</t>
  </si>
  <si>
    <t>Packaging Cyan Ink - 220mL</t>
  </si>
  <si>
    <t>Packaging Green Ink - 220ml</t>
  </si>
  <si>
    <t>Packaging Black Ink - 220ml</t>
  </si>
  <si>
    <t>Packaging Magenta Ink - 220ml</t>
  </si>
  <si>
    <t>Packaging Orange Ink - 220ml</t>
  </si>
  <si>
    <t>Packaging Yellow Ink - 220ml</t>
  </si>
  <si>
    <t>ESL4-MT</t>
  </si>
  <si>
    <t>Metallic Eco-Sol Max2 Ink - 220ml</t>
  </si>
  <si>
    <t>ESL4-WH</t>
  </si>
  <si>
    <t>White Eco-Sol Max2 Ink - 220ml</t>
  </si>
  <si>
    <r>
      <t xml:space="preserve">CGS Flex Pack Web </t>
    </r>
    <r>
      <rPr>
        <b/>
        <sz val="12"/>
        <color rgb="FFFF0000"/>
        <rFont val="Helvetica Neue"/>
        <family val="2"/>
      </rPr>
      <t>INKS</t>
    </r>
  </si>
  <si>
    <t>Purchase Order:</t>
  </si>
  <si>
    <t xml:space="preserve">Date: </t>
  </si>
  <si>
    <t>00/00/00</t>
  </si>
  <si>
    <t xml:space="preserve">Delivery Address: </t>
  </si>
  <si>
    <t>Brandpack Victoria</t>
  </si>
  <si>
    <t>Reception</t>
  </si>
  <si>
    <t>Braeside VIC 3195</t>
  </si>
  <si>
    <t>Attn:</t>
  </si>
  <si>
    <t>SPECIAL BUY EX GST</t>
  </si>
  <si>
    <t>TOTAL PRICE Ex GST</t>
  </si>
  <si>
    <t>Total =</t>
  </si>
  <si>
    <t>UNITS</t>
  </si>
  <si>
    <t>CHANGE THIS COLUMN</t>
  </si>
  <si>
    <t>CGS INKS &amp; MEDIA</t>
  </si>
  <si>
    <t>EPSON INKS &amp; SPOTON &amp; CGS MEDIA</t>
  </si>
  <si>
    <t>CT-RXRXG-C</t>
  </si>
  <si>
    <t>CT-RXRXG-G</t>
  </si>
  <si>
    <t>CT-RXRXG-K</t>
  </si>
  <si>
    <t>CT-RXRXG-M</t>
  </si>
  <si>
    <t>CT-RXRXG-O</t>
  </si>
  <si>
    <t xml:space="preserve">CT-RXRXG-Y </t>
  </si>
  <si>
    <t>E-PPO250/24/45</t>
  </si>
  <si>
    <t>E-PPO250/44/45</t>
  </si>
  <si>
    <t>ORIS PearlPROOF Premium OBA 250gsm (ISO White Point Fogra 39/51) 24" x 45m (610mm)</t>
  </si>
  <si>
    <t>ORIS PearlPROOF Premium OBA 250gsm (ISO White Point Fogra 39/51) 44" x 45m (610mm)</t>
  </si>
  <si>
    <t>CGS PearlProof Premium OBA Semimatte 250gsm (Fogra 39/51)</t>
  </si>
  <si>
    <t>E-SCPSF80/24/30</t>
  </si>
  <si>
    <t>NEW BUY EX GST</t>
  </si>
  <si>
    <t xml:space="preserve"> BUY EX GST</t>
  </si>
  <si>
    <t>BUY EX GST</t>
  </si>
  <si>
    <t>E-SSF012/30/30</t>
  </si>
  <si>
    <t>30m, 30", 120um</t>
  </si>
  <si>
    <t>ORIS Media Silver Film 012, glossy 30inch 30 meter roll</t>
  </si>
  <si>
    <t>JETCOMP SOLVENT MEDIA</t>
  </si>
  <si>
    <r>
      <t xml:space="preserve">Roland </t>
    </r>
    <r>
      <rPr>
        <b/>
        <sz val="12"/>
        <color rgb="FFFF0000"/>
        <rFont val="Helvetica Neue"/>
        <family val="2"/>
      </rPr>
      <t>INKS</t>
    </r>
    <r>
      <rPr>
        <b/>
        <sz val="12"/>
        <color rgb="FF000000"/>
        <rFont val="Helvetica Neue"/>
        <family val="2"/>
      </rPr>
      <t xml:space="preserve"> </t>
    </r>
    <r>
      <rPr>
        <b/>
        <sz val="12"/>
        <color rgb="FFFF0000"/>
        <rFont val="Helvetica Neue"/>
        <family val="2"/>
      </rPr>
      <t>&amp; Accessories</t>
    </r>
  </si>
  <si>
    <t>100ml</t>
  </si>
  <si>
    <t>Roland Cleaning Kit for Mild Solvent Printers. Includes 100ml fluid and 10 cleaning sticks</t>
  </si>
  <si>
    <t>ZECU-3050</t>
  </si>
  <si>
    <t>Roland Sand Blast / Cardboard Blade (Pack of 5)</t>
  </si>
  <si>
    <t>Roland VS-420 Wipers for (LEC, LEF, RS, SC, SJ, SP, VP, XC, XJ - newer style wiper)</t>
  </si>
  <si>
    <t>Roland VS-420 Wiper, head felt (BN, RE, VS, Vsi, XR, XF, RT)</t>
  </si>
  <si>
    <t>Roland VS-420 Wiper, head  (BN, RE, VS, Vsi, XR, XF, RT)</t>
  </si>
  <si>
    <t>E-SCF0085/24/50</t>
  </si>
  <si>
    <t>ORIS Media Clear Film 0085 Polyester clear film 75 Âµ, Length 50m, W24"</t>
  </si>
  <si>
    <t>8418-24-150</t>
  </si>
  <si>
    <r>
      <t xml:space="preserve">Board Stock: 18pt. C1S White Kraft Back C1S Broad Stock </t>
    </r>
    <r>
      <rPr>
        <sz val="10"/>
        <color rgb="FFFF0000"/>
        <rFont val="Helvetica Neue"/>
        <family val="2"/>
      </rPr>
      <t>NEW ieal for any structural kraft packaging</t>
    </r>
    <r>
      <rPr>
        <sz val="10"/>
        <rFont val="Helvetica Neue"/>
        <family val="2"/>
      </rPr>
      <t xml:space="preserve"> </t>
    </r>
  </si>
  <si>
    <r>
      <t xml:space="preserve">Epson 9070 </t>
    </r>
    <r>
      <rPr>
        <b/>
        <sz val="12"/>
        <color rgb="FFFF0000"/>
        <rFont val="Helvetica Neue"/>
        <family val="2"/>
      </rPr>
      <t>INK</t>
    </r>
  </si>
  <si>
    <t>T55J192</t>
  </si>
  <si>
    <t>T55J292</t>
  </si>
  <si>
    <t>T55J392</t>
  </si>
  <si>
    <t>T55J492</t>
  </si>
  <si>
    <t>T55J592</t>
  </si>
  <si>
    <t>T55J692</t>
  </si>
  <si>
    <t>T55J792</t>
  </si>
  <si>
    <t>T55J892</t>
  </si>
  <si>
    <t>T55J992</t>
  </si>
  <si>
    <t>T55JA92</t>
  </si>
  <si>
    <t>T55JB92</t>
  </si>
  <si>
    <t>T55JD92</t>
  </si>
  <si>
    <t>C13T699700</t>
  </si>
  <si>
    <t xml:space="preserve">Ultrachrome K3 Light Light Black </t>
  </si>
  <si>
    <t xml:space="preserve">Ultrachrome K3 Green </t>
  </si>
  <si>
    <t>Ultrachrome K3 Violet</t>
  </si>
  <si>
    <t>Epson Maintenance Tank for 9070</t>
  </si>
  <si>
    <t>78 Woodlands Drive</t>
  </si>
  <si>
    <t>ST-037-50</t>
  </si>
  <si>
    <t>50 sticks</t>
  </si>
  <si>
    <t>Roland Printer Cleaning Sticks (TX712A) - Pack of 50 Sticks</t>
  </si>
  <si>
    <t>ORIS Media Metalised Pouch Film Heat Sealabel  65 Âµ, Length 30m, W24"</t>
  </si>
  <si>
    <t>ORIS Media Transparent Pouch Film Heat Sealable  65 Âµ, Length 30m, W24"</t>
  </si>
  <si>
    <t>ORIS Media White PE Pouch Fil Heat Sealable  65 Âµ, Length 30m, W24"</t>
  </si>
  <si>
    <t>i95M44/60</t>
  </si>
  <si>
    <t>1.118mm x 60m</t>
  </si>
  <si>
    <t>Matte Coated 95gsm 44" x 60m</t>
  </si>
  <si>
    <t>1.4.25</t>
  </si>
  <si>
    <t>T2</t>
  </si>
  <si>
    <t xml:space="preserve">Ultrachrome K3 Matte Black </t>
  </si>
  <si>
    <t>Eloise Bartrop-Braybon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</si>
</sst>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46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24"/>
      <color theme="4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rgb="FF000000"/>
      <name val="Helvetica Neue"/>
      <family val="2"/>
    </font>
    <font>
      <b/>
      <sz val="12"/>
      <color rgb="FFFF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9"/>
      <color rgb="FFFFFFFF"/>
      <name val="Helvetica Neue"/>
      <family val="2"/>
    </font>
    <font>
      <sz val="10"/>
      <color indexed="8"/>
      <name val="Helvetica Neue"/>
      <family val="2"/>
    </font>
    <font>
      <sz val="10"/>
      <name val="Helvetica Neue"/>
      <family val="2"/>
    </font>
    <font>
      <sz val="12"/>
      <color rgb="FF000000"/>
      <name val="Calibri"/>
      <family val="2"/>
      <scheme val="minor"/>
    </font>
    <font>
      <sz val="12"/>
      <color theme="1"/>
      <name val="Helvetica Neue"/>
      <family val="2"/>
    </font>
    <font>
      <sz val="10"/>
      <color rgb="FFFF0000"/>
      <name val="Helvetica Neue"/>
      <family val="2"/>
    </font>
    <font>
      <sz val="10"/>
      <color theme="1"/>
      <name val="Helvetica"/>
      <family val="2"/>
    </font>
    <font>
      <sz val="10"/>
      <color rgb="FF000000"/>
      <name val="Helvetica"/>
      <family val="2"/>
    </font>
    <font>
      <sz val="10"/>
      <color rgb="FFFF0000"/>
      <name val="Helvetic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Helvetica"/>
      <family val="2"/>
    </font>
    <font>
      <sz val="12"/>
      <name val="Calibri"/>
      <family val="2"/>
      <charset val="129"/>
      <scheme val="minor"/>
    </font>
    <font>
      <sz val="12"/>
      <name val="Helvetica Neue"/>
      <family val="2"/>
    </font>
    <font>
      <sz val="12"/>
      <color theme="4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0"/>
      <color theme="1"/>
      <name val="Helv"/>
    </font>
    <font>
      <b/>
      <sz val="10"/>
      <name val="Helvetica"/>
      <family val="2"/>
    </font>
    <font>
      <sz val="12"/>
      <name val="Helvetica"/>
      <family val="2"/>
    </font>
    <font>
      <sz val="12"/>
      <color theme="1"/>
      <name val="Helvetica"/>
      <family val="2"/>
    </font>
    <font>
      <sz val="10"/>
      <color indexed="8"/>
      <name val="Helvetica"/>
      <family val="2"/>
    </font>
    <font>
      <i/>
      <sz val="10"/>
      <color rgb="FFFF0000"/>
      <name val="Helvetica Neue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Helvetica"/>
      <family val="2"/>
    </font>
    <font>
      <b/>
      <sz val="10"/>
      <color rgb="FFFF0000"/>
      <name val="Helvetica"/>
      <family val="2"/>
    </font>
    <font>
      <b/>
      <sz val="10"/>
      <color indexed="8"/>
      <name val="Helvetica"/>
      <family val="2"/>
    </font>
    <font>
      <b/>
      <sz val="11"/>
      <color indexed="8"/>
      <name val="Helvetica"/>
      <family val="2"/>
    </font>
    <font>
      <b/>
      <sz val="9"/>
      <color rgb="FFFFFFFF"/>
      <name val="Helvetica Neue"/>
      <family val="2"/>
    </font>
    <font>
      <b/>
      <sz val="24"/>
      <color rgb="FFFF0000"/>
      <name val="Calibri"/>
      <family val="2"/>
      <scheme val="minor"/>
    </font>
    <font>
      <b/>
      <sz val="9"/>
      <color rgb="FFFFFF00"/>
      <name val="Helvetica Neue"/>
      <family val="2"/>
    </font>
    <font>
      <b/>
      <sz val="10"/>
      <color indexed="8"/>
      <name val="Helvetica Neue"/>
      <family val="2"/>
    </font>
    <font>
      <b/>
      <sz val="9"/>
      <color rgb="FFFF0000"/>
      <name val="Helvetica Neue"/>
      <family val="2"/>
    </font>
    <font>
      <b/>
      <sz val="10"/>
      <color rgb="FFFF0000"/>
      <name val="Helvetica Neue"/>
      <family val="2"/>
    </font>
    <font>
      <sz val="12"/>
      <color theme="0"/>
      <name val="Helvetica"/>
      <family val="2"/>
    </font>
    <font>
      <b/>
      <sz val="9"/>
      <color theme="0"/>
      <name val="Helvetica Neue"/>
      <family val="2"/>
    </font>
    <font>
      <b/>
      <sz val="18"/>
      <color rgb="FFFF0000"/>
      <name val="Calibri"/>
      <family val="2"/>
      <scheme val="minor"/>
    </font>
    <font>
      <b/>
      <sz val="10"/>
      <color theme="1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2D9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0090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FF"/>
        <bgColor rgb="FF000000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DCDCD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DCDCD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CDCDCD"/>
      </right>
      <top/>
      <bottom style="thin">
        <color auto="1"/>
      </bottom>
      <diagonal/>
    </border>
    <border>
      <left/>
      <right style="thin">
        <color rgb="FFCDCDCD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11">
    <xf numFmtId="0" fontId="0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/>
    <xf numFmtId="0" fontId="23" fillId="0" borderId="0"/>
  </cellStyleXfs>
  <cellXfs count="159">
    <xf numFmtId="0" fontId="0" fillId="0" borderId="0" xfId="0"/>
    <xf numFmtId="0" fontId="8" fillId="3" borderId="2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vertical="top"/>
    </xf>
    <xf numFmtId="0" fontId="9" fillId="0" borderId="4" xfId="0" applyFont="1" applyBorder="1"/>
    <xf numFmtId="0" fontId="10" fillId="0" borderId="4" xfId="0" applyFont="1" applyBorder="1"/>
    <xf numFmtId="0" fontId="4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7" fillId="2" borderId="5" xfId="0" applyFont="1" applyFill="1" applyBorder="1" applyAlignment="1">
      <alignment vertical="top"/>
    </xf>
    <xf numFmtId="0" fontId="7" fillId="0" borderId="4" xfId="0" applyFont="1" applyBorder="1"/>
    <xf numFmtId="0" fontId="10" fillId="0" borderId="1" xfId="0" applyFont="1" applyBorder="1"/>
    <xf numFmtId="0" fontId="7" fillId="0" borderId="1" xfId="0" applyFont="1" applyBorder="1"/>
    <xf numFmtId="0" fontId="11" fillId="0" borderId="0" xfId="0" applyFont="1"/>
    <xf numFmtId="0" fontId="12" fillId="0" borderId="0" xfId="0" applyFont="1"/>
    <xf numFmtId="0" fontId="10" fillId="2" borderId="1" xfId="0" applyFont="1" applyFill="1" applyBorder="1"/>
    <xf numFmtId="0" fontId="7" fillId="2" borderId="1" xfId="0" applyFont="1" applyFill="1" applyBorder="1"/>
    <xf numFmtId="0" fontId="9" fillId="4" borderId="4" xfId="0" applyFont="1" applyFill="1" applyBorder="1"/>
    <xf numFmtId="0" fontId="10" fillId="4" borderId="4" xfId="0" applyFont="1" applyFill="1" applyBorder="1"/>
    <xf numFmtId="0" fontId="9" fillId="4" borderId="1" xfId="0" applyFont="1" applyFill="1" applyBorder="1"/>
    <xf numFmtId="0" fontId="10" fillId="0" borderId="3" xfId="0" applyFont="1" applyBorder="1"/>
    <xf numFmtId="0" fontId="10" fillId="2" borderId="3" xfId="0" applyFont="1" applyFill="1" applyBorder="1"/>
    <xf numFmtId="0" fontId="1" fillId="0" borderId="0" xfId="0" applyFont="1"/>
    <xf numFmtId="0" fontId="10" fillId="4" borderId="3" xfId="0" applyFont="1" applyFill="1" applyBorder="1"/>
    <xf numFmtId="0" fontId="10" fillId="4" borderId="1" xfId="0" applyFont="1" applyFill="1" applyBorder="1"/>
    <xf numFmtId="0" fontId="10" fillId="2" borderId="4" xfId="0" applyFont="1" applyFill="1" applyBorder="1"/>
    <xf numFmtId="4" fontId="9" fillId="0" borderId="1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9" fillId="0" borderId="4" xfId="0" applyFont="1" applyBorder="1" applyAlignment="1">
      <alignment horizontal="left"/>
    </xf>
    <xf numFmtId="4" fontId="3" fillId="0" borderId="0" xfId="0" applyNumberFormat="1" applyFont="1" applyAlignment="1">
      <alignment horizontal="center"/>
    </xf>
    <xf numFmtId="0" fontId="14" fillId="0" borderId="4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9" fillId="0" borderId="1" xfId="0" applyFont="1" applyBorder="1"/>
    <xf numFmtId="0" fontId="19" fillId="0" borderId="7" xfId="0" applyFont="1" applyBorder="1"/>
    <xf numFmtId="0" fontId="14" fillId="4" borderId="4" xfId="0" applyFont="1" applyFill="1" applyBorder="1" applyAlignment="1">
      <alignment horizontal="left"/>
    </xf>
    <xf numFmtId="0" fontId="20" fillId="0" borderId="0" xfId="0" applyFont="1"/>
    <xf numFmtId="0" fontId="21" fillId="0" borderId="0" xfId="0" applyFont="1"/>
    <xf numFmtId="4" fontId="7" fillId="2" borderId="0" xfId="0" applyNumberFormat="1" applyFont="1" applyFill="1" applyAlignment="1">
      <alignment horizontal="center" vertical="top"/>
    </xf>
    <xf numFmtId="0" fontId="22" fillId="0" borderId="0" xfId="0" applyFont="1"/>
    <xf numFmtId="0" fontId="26" fillId="0" borderId="4" xfId="0" applyFont="1" applyBorder="1"/>
    <xf numFmtId="0" fontId="27" fillId="0" borderId="0" xfId="0" applyFont="1"/>
    <xf numFmtId="0" fontId="28" fillId="0" borderId="0" xfId="0" applyFont="1"/>
    <xf numFmtId="0" fontId="19" fillId="0" borderId="4" xfId="0" applyFont="1" applyBorder="1"/>
    <xf numFmtId="0" fontId="29" fillId="0" borderId="4" xfId="0" applyFont="1" applyBorder="1"/>
    <xf numFmtId="0" fontId="0" fillId="0" borderId="4" xfId="0" applyBorder="1"/>
    <xf numFmtId="0" fontId="30" fillId="2" borderId="5" xfId="0" applyFont="1" applyFill="1" applyBorder="1" applyAlignment="1">
      <alignment vertical="top"/>
    </xf>
    <xf numFmtId="0" fontId="4" fillId="2" borderId="4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vertical="top"/>
    </xf>
    <xf numFmtId="0" fontId="16" fillId="0" borderId="0" xfId="0" applyFont="1"/>
    <xf numFmtId="0" fontId="14" fillId="0" borderId="4" xfId="0" applyFont="1" applyBorder="1"/>
    <xf numFmtId="0" fontId="4" fillId="2" borderId="8" xfId="0" applyFont="1" applyFill="1" applyBorder="1" applyAlignment="1">
      <alignment horizontal="left" vertical="top"/>
    </xf>
    <xf numFmtId="164" fontId="19" fillId="0" borderId="1" xfId="0" applyNumberFormat="1" applyFont="1" applyBorder="1" applyAlignment="1">
      <alignment horizontal="center"/>
    </xf>
    <xf numFmtId="164" fontId="19" fillId="0" borderId="4" xfId="0" applyNumberFormat="1" applyFont="1" applyBorder="1" applyAlignment="1">
      <alignment horizontal="center"/>
    </xf>
    <xf numFmtId="164" fontId="6" fillId="2" borderId="4" xfId="0" applyNumberFormat="1" applyFont="1" applyFill="1" applyBorder="1" applyAlignment="1">
      <alignment horizontal="center" vertical="top"/>
    </xf>
    <xf numFmtId="164" fontId="0" fillId="0" borderId="4" xfId="0" applyNumberForma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19" fillId="0" borderId="7" xfId="0" applyNumberFormat="1" applyFont="1" applyBorder="1" applyAlignment="1">
      <alignment horizontal="center"/>
    </xf>
    <xf numFmtId="0" fontId="4" fillId="2" borderId="9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/>
    </xf>
    <xf numFmtId="0" fontId="7" fillId="2" borderId="9" xfId="0" applyFont="1" applyFill="1" applyBorder="1" applyAlignment="1">
      <alignment vertical="top"/>
    </xf>
    <xf numFmtId="4" fontId="6" fillId="2" borderId="10" xfId="0" applyNumberFormat="1" applyFont="1" applyFill="1" applyBorder="1" applyAlignment="1">
      <alignment horizontal="center" vertical="top"/>
    </xf>
    <xf numFmtId="164" fontId="7" fillId="2" borderId="10" xfId="0" applyNumberFormat="1" applyFont="1" applyFill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7" fillId="2" borderId="0" xfId="0" applyNumberFormat="1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  <xf numFmtId="0" fontId="32" fillId="0" borderId="4" xfId="0" applyFont="1" applyBorder="1"/>
    <xf numFmtId="0" fontId="33" fillId="0" borderId="4" xfId="0" applyFont="1" applyBorder="1" applyProtection="1">
      <protection locked="0"/>
    </xf>
    <xf numFmtId="0" fontId="32" fillId="0" borderId="4" xfId="0" applyFont="1" applyBorder="1" applyAlignment="1">
      <alignment horizontal="left"/>
    </xf>
    <xf numFmtId="0" fontId="34" fillId="0" borderId="4" xfId="0" applyFont="1" applyBorder="1"/>
    <xf numFmtId="0" fontId="35" fillId="0" borderId="4" xfId="0" applyFont="1" applyBorder="1"/>
    <xf numFmtId="4" fontId="36" fillId="3" borderId="3" xfId="0" applyNumberFormat="1" applyFont="1" applyFill="1" applyBorder="1" applyAlignment="1">
      <alignment horizontal="center" vertical="top"/>
    </xf>
    <xf numFmtId="4" fontId="31" fillId="0" borderId="0" xfId="0" applyNumberFormat="1" applyFont="1" applyAlignment="1">
      <alignment horizontal="center"/>
    </xf>
    <xf numFmtId="4" fontId="37" fillId="0" borderId="0" xfId="0" applyNumberFormat="1" applyFont="1" applyAlignment="1">
      <alignment horizontal="center"/>
    </xf>
    <xf numFmtId="4" fontId="6" fillId="2" borderId="0" xfId="0" applyNumberFormat="1" applyFont="1" applyFill="1" applyAlignment="1">
      <alignment horizontal="center" vertical="top"/>
    </xf>
    <xf numFmtId="4" fontId="38" fillId="3" borderId="3" xfId="0" applyNumberFormat="1" applyFont="1" applyFill="1" applyBorder="1" applyAlignment="1">
      <alignment horizontal="center" vertical="top"/>
    </xf>
    <xf numFmtId="164" fontId="26" fillId="0" borderId="1" xfId="0" applyNumberFormat="1" applyFont="1" applyBorder="1" applyAlignment="1">
      <alignment horizontal="center"/>
    </xf>
    <xf numFmtId="8" fontId="32" fillId="0" borderId="4" xfId="0" applyNumberFormat="1" applyFont="1" applyBorder="1" applyAlignment="1">
      <alignment horizontal="center"/>
    </xf>
    <xf numFmtId="164" fontId="26" fillId="0" borderId="4" xfId="0" applyNumberFormat="1" applyFont="1" applyBorder="1" applyAlignment="1">
      <alignment horizontal="center"/>
    </xf>
    <xf numFmtId="164" fontId="31" fillId="0" borderId="4" xfId="0" applyNumberFormat="1" applyFont="1" applyBorder="1" applyAlignment="1">
      <alignment horizontal="center"/>
    </xf>
    <xf numFmtId="164" fontId="39" fillId="0" borderId="1" xfId="0" applyNumberFormat="1" applyFont="1" applyBorder="1" applyAlignment="1">
      <alignment horizontal="center"/>
    </xf>
    <xf numFmtId="164" fontId="26" fillId="0" borderId="7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40" fillId="3" borderId="3" xfId="0" applyNumberFormat="1" applyFont="1" applyFill="1" applyBorder="1" applyAlignment="1">
      <alignment horizontal="center" vertical="top"/>
    </xf>
    <xf numFmtId="1" fontId="16" fillId="0" borderId="1" xfId="0" applyNumberFormat="1" applyFont="1" applyBorder="1" applyAlignment="1">
      <alignment horizontal="center"/>
    </xf>
    <xf numFmtId="1" fontId="16" fillId="0" borderId="4" xfId="0" applyNumberFormat="1" applyFont="1" applyBorder="1" applyAlignment="1">
      <alignment horizontal="center"/>
    </xf>
    <xf numFmtId="1" fontId="41" fillId="2" borderId="4" xfId="0" applyNumberFormat="1" applyFont="1" applyFill="1" applyBorder="1" applyAlignment="1">
      <alignment horizontal="center" vertical="top"/>
    </xf>
    <xf numFmtId="1" fontId="1" fillId="0" borderId="4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6" fillId="0" borderId="7" xfId="0" applyNumberFormat="1" applyFont="1" applyBorder="1" applyAlignment="1">
      <alignment horizontal="center"/>
    </xf>
    <xf numFmtId="0" fontId="42" fillId="5" borderId="4" xfId="0" applyFont="1" applyFill="1" applyBorder="1"/>
    <xf numFmtId="0" fontId="42" fillId="5" borderId="4" xfId="0" applyFont="1" applyFill="1" applyBorder="1" applyAlignment="1">
      <alignment horizontal="center"/>
    </xf>
    <xf numFmtId="1" fontId="42" fillId="5" borderId="4" xfId="0" applyNumberFormat="1" applyFont="1" applyFill="1" applyBorder="1" applyAlignment="1" applyProtection="1">
      <alignment horizontal="center"/>
      <protection locked="0"/>
    </xf>
    <xf numFmtId="8" fontId="42" fillId="5" borderId="4" xfId="0" applyNumberFormat="1" applyFont="1" applyFill="1" applyBorder="1" applyAlignment="1" applyProtection="1">
      <alignment horizontal="right"/>
      <protection locked="0"/>
    </xf>
    <xf numFmtId="1" fontId="43" fillId="3" borderId="3" xfId="0" applyNumberFormat="1" applyFont="1" applyFill="1" applyBorder="1" applyAlignment="1">
      <alignment horizontal="center" vertical="top"/>
    </xf>
    <xf numFmtId="164" fontId="9" fillId="0" borderId="4" xfId="0" applyNumberFormat="1" applyFont="1" applyBorder="1" applyAlignment="1">
      <alignment horizontal="center"/>
    </xf>
    <xf numFmtId="4" fontId="9" fillId="0" borderId="4" xfId="0" applyNumberFormat="1" applyFont="1" applyBorder="1" applyAlignment="1">
      <alignment horizontal="center"/>
    </xf>
    <xf numFmtId="3" fontId="13" fillId="0" borderId="4" xfId="0" applyNumberFormat="1" applyFont="1" applyBorder="1" applyAlignment="1">
      <alignment horizontal="center"/>
    </xf>
    <xf numFmtId="3" fontId="13" fillId="2" borderId="4" xfId="0" applyNumberFormat="1" applyFont="1" applyFill="1" applyBorder="1" applyAlignment="1">
      <alignment horizontal="center"/>
    </xf>
    <xf numFmtId="3" fontId="13" fillId="4" borderId="4" xfId="0" applyNumberFormat="1" applyFont="1" applyFill="1" applyBorder="1" applyAlignment="1">
      <alignment horizontal="center"/>
    </xf>
    <xf numFmtId="4" fontId="41" fillId="2" borderId="0" xfId="0" applyNumberFormat="1" applyFont="1" applyFill="1" applyAlignment="1">
      <alignment horizontal="center" vertical="top"/>
    </xf>
    <xf numFmtId="4" fontId="44" fillId="0" borderId="0" xfId="0" applyNumberFormat="1" applyFont="1" applyAlignment="1">
      <alignment horizontal="center"/>
    </xf>
    <xf numFmtId="4" fontId="6" fillId="2" borderId="4" xfId="0" applyNumberFormat="1" applyFont="1" applyFill="1" applyBorder="1" applyAlignment="1">
      <alignment horizontal="center" vertical="top"/>
    </xf>
    <xf numFmtId="4" fontId="41" fillId="2" borderId="4" xfId="0" applyNumberFormat="1" applyFont="1" applyFill="1" applyBorder="1" applyAlignment="1">
      <alignment horizontal="center" vertical="top"/>
    </xf>
    <xf numFmtId="0" fontId="24" fillId="0" borderId="4" xfId="0" applyFont="1" applyBorder="1"/>
    <xf numFmtId="0" fontId="25" fillId="0" borderId="4" xfId="0" applyFont="1" applyBorder="1" applyAlignment="1">
      <alignment horizontal="left"/>
    </xf>
    <xf numFmtId="0" fontId="19" fillId="0" borderId="4" xfId="109" applyFont="1" applyBorder="1"/>
    <xf numFmtId="4" fontId="43" fillId="3" borderId="3" xfId="0" applyNumberFormat="1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164" fontId="45" fillId="0" borderId="4" xfId="0" applyNumberFormat="1" applyFont="1" applyBorder="1" applyAlignment="1">
      <alignment horizontal="center"/>
    </xf>
    <xf numFmtId="164" fontId="45" fillId="0" borderId="1" xfId="0" applyNumberFormat="1" applyFont="1" applyBorder="1" applyAlignment="1">
      <alignment horizontal="center"/>
    </xf>
    <xf numFmtId="164" fontId="45" fillId="4" borderId="1" xfId="0" applyNumberFormat="1" applyFont="1" applyFill="1" applyBorder="1" applyAlignment="1">
      <alignment horizontal="center"/>
    </xf>
    <xf numFmtId="164" fontId="45" fillId="2" borderId="1" xfId="0" applyNumberFormat="1" applyFont="1" applyFill="1" applyBorder="1" applyAlignment="1">
      <alignment horizontal="center"/>
    </xf>
    <xf numFmtId="164" fontId="39" fillId="4" borderId="1" xfId="0" applyNumberFormat="1" applyFont="1" applyFill="1" applyBorder="1" applyAlignment="1">
      <alignment horizontal="center"/>
    </xf>
    <xf numFmtId="164" fontId="33" fillId="0" borderId="4" xfId="0" applyNumberFormat="1" applyFont="1" applyBorder="1" applyAlignment="1">
      <alignment horizontal="center"/>
    </xf>
    <xf numFmtId="164" fontId="32" fillId="0" borderId="1" xfId="0" applyNumberFormat="1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25" fillId="6" borderId="4" xfId="0" applyFont="1" applyFill="1" applyBorder="1" applyAlignment="1">
      <alignment horizontal="left"/>
    </xf>
    <xf numFmtId="0" fontId="29" fillId="6" borderId="4" xfId="0" applyFont="1" applyFill="1" applyBorder="1"/>
    <xf numFmtId="164" fontId="32" fillId="6" borderId="1" xfId="0" applyNumberFormat="1" applyFont="1" applyFill="1" applyBorder="1" applyAlignment="1">
      <alignment horizontal="center"/>
    </xf>
    <xf numFmtId="1" fontId="16" fillId="6" borderId="1" xfId="0" applyNumberFormat="1" applyFont="1" applyFill="1" applyBorder="1" applyAlignment="1">
      <alignment horizontal="center"/>
    </xf>
    <xf numFmtId="8" fontId="32" fillId="6" borderId="4" xfId="0" applyNumberFormat="1" applyFont="1" applyFill="1" applyBorder="1" applyAlignment="1">
      <alignment horizontal="center"/>
    </xf>
    <xf numFmtId="0" fontId="19" fillId="6" borderId="4" xfId="0" applyFont="1" applyFill="1" applyBorder="1" applyAlignment="1">
      <alignment horizontal="left" vertical="top"/>
    </xf>
    <xf numFmtId="0" fontId="19" fillId="6" borderId="4" xfId="0" applyFont="1" applyFill="1" applyBorder="1"/>
    <xf numFmtId="164" fontId="32" fillId="6" borderId="4" xfId="0" applyNumberFormat="1" applyFont="1" applyFill="1" applyBorder="1" applyAlignment="1">
      <alignment horizontal="center"/>
    </xf>
    <xf numFmtId="1" fontId="16" fillId="6" borderId="4" xfId="0" applyNumberFormat="1" applyFont="1" applyFill="1" applyBorder="1" applyAlignment="1">
      <alignment horizontal="center"/>
    </xf>
    <xf numFmtId="0" fontId="15" fillId="7" borderId="4" xfId="0" applyFont="1" applyFill="1" applyBorder="1"/>
    <xf numFmtId="0" fontId="19" fillId="6" borderId="1" xfId="0" applyFont="1" applyFill="1" applyBorder="1"/>
    <xf numFmtId="0" fontId="19" fillId="6" borderId="4" xfId="0" applyFont="1" applyFill="1" applyBorder="1" applyAlignment="1">
      <alignment vertical="top"/>
    </xf>
    <xf numFmtId="0" fontId="15" fillId="7" borderId="6" xfId="0" applyFont="1" applyFill="1" applyBorder="1"/>
    <xf numFmtId="0" fontId="19" fillId="6" borderId="7" xfId="0" applyFont="1" applyFill="1" applyBorder="1"/>
    <xf numFmtId="0" fontId="19" fillId="7" borderId="4" xfId="0" applyFont="1" applyFill="1" applyBorder="1" applyAlignment="1">
      <alignment vertical="top"/>
    </xf>
    <xf numFmtId="0" fontId="14" fillId="6" borderId="4" xfId="0" applyFont="1" applyFill="1" applyBorder="1"/>
    <xf numFmtId="0" fontId="19" fillId="7" borderId="1" xfId="0" applyFont="1" applyFill="1" applyBorder="1" applyAlignment="1">
      <alignment vertical="top"/>
    </xf>
    <xf numFmtId="4" fontId="32" fillId="6" borderId="4" xfId="0" applyNumberFormat="1" applyFont="1" applyFill="1" applyBorder="1" applyAlignment="1">
      <alignment horizontal="center"/>
    </xf>
    <xf numFmtId="0" fontId="19" fillId="7" borderId="7" xfId="0" applyFont="1" applyFill="1" applyBorder="1" applyAlignment="1">
      <alignment vertical="top"/>
    </xf>
    <xf numFmtId="0" fontId="10" fillId="6" borderId="4" xfId="0" applyFont="1" applyFill="1" applyBorder="1"/>
    <xf numFmtId="1" fontId="13" fillId="6" borderId="1" xfId="0" applyNumberFormat="1" applyFont="1" applyFill="1" applyBorder="1" applyAlignment="1">
      <alignment horizontal="center"/>
    </xf>
    <xf numFmtId="164" fontId="39" fillId="6" borderId="1" xfId="0" applyNumberFormat="1" applyFont="1" applyFill="1" applyBorder="1" applyAlignment="1">
      <alignment horizontal="center"/>
    </xf>
    <xf numFmtId="0" fontId="9" fillId="6" borderId="4" xfId="0" applyFont="1" applyFill="1" applyBorder="1"/>
    <xf numFmtId="164" fontId="45" fillId="6" borderId="1" xfId="0" applyNumberFormat="1" applyFont="1" applyFill="1" applyBorder="1" applyAlignment="1">
      <alignment horizontal="center"/>
    </xf>
    <xf numFmtId="3" fontId="13" fillId="6" borderId="4" xfId="0" applyNumberFormat="1" applyFont="1" applyFill="1" applyBorder="1" applyAlignment="1">
      <alignment horizontal="center"/>
    </xf>
    <xf numFmtId="0" fontId="9" fillId="6" borderId="4" xfId="0" applyFont="1" applyFill="1" applyBorder="1" applyAlignment="1">
      <alignment horizontal="left"/>
    </xf>
    <xf numFmtId="0" fontId="10" fillId="6" borderId="4" xfId="0" applyFont="1" applyFill="1" applyBorder="1" applyAlignment="1">
      <alignment horizontal="left"/>
    </xf>
    <xf numFmtId="0" fontId="27" fillId="4" borderId="0" xfId="0" applyFont="1" applyFill="1"/>
    <xf numFmtId="0" fontId="28" fillId="4" borderId="0" xfId="0" applyFont="1" applyFill="1"/>
    <xf numFmtId="0" fontId="16" fillId="4" borderId="0" xfId="0" applyFont="1" applyFill="1"/>
    <xf numFmtId="0" fontId="0" fillId="4" borderId="0" xfId="0" applyFill="1"/>
    <xf numFmtId="0" fontId="15" fillId="8" borderId="6" xfId="0" applyFont="1" applyFill="1" applyBorder="1"/>
    <xf numFmtId="0" fontId="19" fillId="4" borderId="7" xfId="0" applyFont="1" applyFill="1" applyBorder="1"/>
    <xf numFmtId="0" fontId="19" fillId="8" borderId="4" xfId="0" applyFont="1" applyFill="1" applyBorder="1" applyAlignment="1">
      <alignment vertical="top"/>
    </xf>
    <xf numFmtId="164" fontId="32" fillId="4" borderId="4" xfId="0" applyNumberFormat="1" applyFont="1" applyFill="1" applyBorder="1" applyAlignment="1">
      <alignment horizontal="center"/>
    </xf>
    <xf numFmtId="1" fontId="16" fillId="4" borderId="4" xfId="0" applyNumberFormat="1" applyFont="1" applyFill="1" applyBorder="1" applyAlignment="1">
      <alignment horizontal="center"/>
    </xf>
    <xf numFmtId="8" fontId="32" fillId="4" borderId="4" xfId="0" applyNumberFormat="1" applyFont="1" applyFill="1" applyBorder="1" applyAlignment="1">
      <alignment horizontal="center"/>
    </xf>
    <xf numFmtId="0" fontId="14" fillId="4" borderId="4" xfId="0" applyFont="1" applyFill="1" applyBorder="1"/>
    <xf numFmtId="0" fontId="19" fillId="8" borderId="7" xfId="0" applyFont="1" applyFill="1" applyBorder="1" applyAlignment="1">
      <alignment vertical="top"/>
    </xf>
    <xf numFmtId="4" fontId="32" fillId="4" borderId="4" xfId="0" applyNumberFormat="1" applyFont="1" applyFill="1" applyBorder="1" applyAlignment="1">
      <alignment horizontal="center"/>
    </xf>
  </cellXfs>
  <cellStyles count="1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Normal" xfId="0" builtinId="0"/>
    <cellStyle name="Normal 2" xfId="110" xr:uid="{800DDDA0-006D-A14B-8501-DD22072D4893}"/>
    <cellStyle name="Standard 2" xfId="109" xr:uid="{736AEAF4-BB8A-7049-A137-C327FBBEEBA3}"/>
  </cellStyles>
  <dxfs count="0"/>
  <tableStyles count="0" defaultTableStyle="TableStyleMedium9" defaultPivotStyle="PivotStyleMedium4"/>
  <colors>
    <mruColors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177800</xdr:rowOff>
    </xdr:from>
    <xdr:to>
      <xdr:col>2</xdr:col>
      <xdr:colOff>901699</xdr:colOff>
      <xdr:row>5</xdr:row>
      <xdr:rowOff>42664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E370B-98F1-A547-A624-4B2F63D35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77800"/>
          <a:ext cx="3657599" cy="880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749299</xdr:colOff>
      <xdr:row>5</xdr:row>
      <xdr:rowOff>80764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8877A5-B760-8642-9F6A-163230822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900"/>
          <a:ext cx="3657599" cy="8808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</xdr:row>
      <xdr:rowOff>25400</xdr:rowOff>
    </xdr:from>
    <xdr:to>
      <xdr:col>2</xdr:col>
      <xdr:colOff>774699</xdr:colOff>
      <xdr:row>5</xdr:row>
      <xdr:rowOff>93464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E223D-3560-7B4C-9B59-7B3208BC8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228600"/>
          <a:ext cx="3657599" cy="880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7:O78"/>
  <sheetViews>
    <sheetView zoomScale="85" zoomScaleNormal="85" workbookViewId="0">
      <selection activeCell="B16" sqref="B16"/>
    </sheetView>
  </sheetViews>
  <sheetFormatPr defaultColWidth="11" defaultRowHeight="15.75"/>
  <cols>
    <col min="1" max="1" width="21.375" customWidth="1"/>
    <col min="2" max="2" width="16.875" customWidth="1"/>
    <col min="3" max="3" width="76.125" customWidth="1"/>
    <col min="4" max="4" width="20.875" style="26" customWidth="1"/>
    <col min="5" max="5" width="20.875" style="83" customWidth="1"/>
    <col min="6" max="6" width="20.875" style="72" customWidth="1"/>
    <col min="7" max="7" width="25" customWidth="1"/>
  </cols>
  <sheetData>
    <row r="7" spans="1:6" ht="31.5">
      <c r="A7" s="37" t="s">
        <v>255</v>
      </c>
      <c r="B7" s="21" t="s">
        <v>155</v>
      </c>
      <c r="C7" s="65" t="s">
        <v>254</v>
      </c>
      <c r="D7" s="28"/>
      <c r="E7" s="82"/>
      <c r="F7" s="102"/>
    </row>
    <row r="8" spans="1:6" ht="31.5">
      <c r="A8" s="64"/>
      <c r="B8" s="64"/>
      <c r="C8" s="64" t="s">
        <v>194</v>
      </c>
      <c r="D8" s="28"/>
      <c r="E8" s="82"/>
      <c r="F8" s="102" t="s">
        <v>80</v>
      </c>
    </row>
    <row r="9" spans="1:6">
      <c r="A9" s="66" t="s">
        <v>180</v>
      </c>
      <c r="B9" s="67"/>
      <c r="C9" s="65"/>
    </row>
    <row r="10" spans="1:6">
      <c r="A10" s="66" t="s">
        <v>181</v>
      </c>
      <c r="B10" s="67" t="s">
        <v>182</v>
      </c>
    </row>
    <row r="11" spans="1:6">
      <c r="A11" s="66" t="s">
        <v>183</v>
      </c>
      <c r="B11" s="66" t="s">
        <v>184</v>
      </c>
    </row>
    <row r="12" spans="1:6">
      <c r="A12" s="66"/>
      <c r="B12" s="38" t="s">
        <v>185</v>
      </c>
    </row>
    <row r="13" spans="1:6">
      <c r="A13" s="66"/>
      <c r="B13" s="68" t="s">
        <v>244</v>
      </c>
    </row>
    <row r="14" spans="1:6">
      <c r="A14" s="66"/>
      <c r="B14" s="68" t="s">
        <v>186</v>
      </c>
    </row>
    <row r="15" spans="1:6">
      <c r="A15" s="66"/>
      <c r="B15" s="68"/>
    </row>
    <row r="16" spans="1:6">
      <c r="A16" s="69" t="s">
        <v>187</v>
      </c>
      <c r="B16" s="66" t="s">
        <v>257</v>
      </c>
    </row>
    <row r="17" spans="1:15">
      <c r="A17" s="70"/>
      <c r="B17" s="70"/>
    </row>
    <row r="19" spans="1:15">
      <c r="A19" s="6" t="s">
        <v>141</v>
      </c>
      <c r="B19" s="7"/>
      <c r="C19" s="8"/>
      <c r="D19" s="36"/>
      <c r="E19" s="101" t="s">
        <v>192</v>
      </c>
      <c r="F19" s="74"/>
      <c r="G19" s="12"/>
      <c r="H19" s="12"/>
      <c r="I19" s="12"/>
      <c r="J19" s="12"/>
      <c r="K19" s="12"/>
      <c r="L19" s="12"/>
      <c r="M19" s="12"/>
      <c r="N19" s="12"/>
      <c r="O19" s="12"/>
    </row>
    <row r="20" spans="1:15">
      <c r="A20" s="1" t="s">
        <v>0</v>
      </c>
      <c r="B20" s="2" t="s">
        <v>1</v>
      </c>
      <c r="C20" s="3" t="s">
        <v>2</v>
      </c>
      <c r="D20" s="71" t="s">
        <v>208</v>
      </c>
      <c r="E20" s="95" t="s">
        <v>191</v>
      </c>
      <c r="F20" s="75" t="s">
        <v>189</v>
      </c>
      <c r="G20" s="12"/>
      <c r="H20" s="12"/>
      <c r="I20" s="12"/>
      <c r="J20" s="12"/>
      <c r="K20" s="12"/>
      <c r="L20" s="12"/>
      <c r="M20" s="12"/>
      <c r="N20" s="12"/>
      <c r="O20" s="12"/>
    </row>
    <row r="21" spans="1:15" s="40" customFormat="1" ht="15">
      <c r="A21" s="38" t="s">
        <v>147</v>
      </c>
      <c r="B21" s="31"/>
      <c r="C21" s="31"/>
      <c r="D21" s="51"/>
      <c r="E21" s="85"/>
      <c r="F21" s="76"/>
      <c r="G21" s="39"/>
      <c r="H21" s="39"/>
      <c r="I21" s="39"/>
      <c r="J21" s="39"/>
      <c r="K21" s="39"/>
      <c r="L21" s="39"/>
      <c r="M21" s="39"/>
      <c r="N21" s="39"/>
      <c r="O21" s="39"/>
    </row>
    <row r="22" spans="1:15" s="40" customFormat="1" ht="15">
      <c r="A22" s="105" t="s">
        <v>251</v>
      </c>
      <c r="B22" s="106" t="s">
        <v>252</v>
      </c>
      <c r="C22" s="42" t="s">
        <v>253</v>
      </c>
      <c r="D22" s="117">
        <v>143.1</v>
      </c>
      <c r="E22" s="85">
        <v>0</v>
      </c>
      <c r="F22" s="77">
        <f t="shared" ref="F22:F34" si="0">D22*E22</f>
        <v>0</v>
      </c>
      <c r="G22" s="39"/>
      <c r="H22" s="39"/>
      <c r="I22" s="39"/>
      <c r="J22" s="39"/>
      <c r="K22" s="39"/>
      <c r="L22" s="39"/>
      <c r="M22" s="39"/>
      <c r="N22" s="39"/>
      <c r="O22" s="39"/>
    </row>
    <row r="23" spans="1:15" s="147" customFormat="1" ht="15">
      <c r="A23" s="124" t="s">
        <v>148</v>
      </c>
      <c r="B23" s="119" t="s">
        <v>152</v>
      </c>
      <c r="C23" s="120" t="s">
        <v>149</v>
      </c>
      <c r="D23" s="121">
        <v>170</v>
      </c>
      <c r="E23" s="122">
        <v>0</v>
      </c>
      <c r="F23" s="123">
        <f t="shared" si="0"/>
        <v>0</v>
      </c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s="40" customFormat="1" ht="15">
      <c r="A24" s="41"/>
      <c r="B24" s="31"/>
      <c r="C24" s="31"/>
      <c r="D24" s="117"/>
      <c r="E24" s="85"/>
      <c r="F24" s="77"/>
      <c r="G24" s="39"/>
      <c r="H24" s="39"/>
      <c r="I24" s="39"/>
      <c r="J24" s="39"/>
      <c r="K24" s="39"/>
      <c r="L24" s="39"/>
      <c r="M24" s="39"/>
      <c r="N24" s="39"/>
      <c r="O24" s="39"/>
    </row>
    <row r="25" spans="1:15" s="40" customFormat="1" ht="15">
      <c r="A25" s="38" t="s">
        <v>142</v>
      </c>
      <c r="B25" s="31"/>
      <c r="C25" s="31"/>
      <c r="D25" s="117"/>
      <c r="E25" s="85"/>
      <c r="F25" s="77"/>
      <c r="G25" s="39"/>
      <c r="H25" s="39"/>
      <c r="I25" s="39"/>
      <c r="J25" s="39"/>
      <c r="K25" s="39"/>
      <c r="L25" s="39"/>
      <c r="M25" s="39"/>
      <c r="N25" s="39"/>
      <c r="O25" s="39"/>
    </row>
    <row r="26" spans="1:15" s="40" customFormat="1" ht="15">
      <c r="A26" s="107" t="s">
        <v>144</v>
      </c>
      <c r="B26" s="29" t="s">
        <v>151</v>
      </c>
      <c r="C26" s="107" t="s">
        <v>146</v>
      </c>
      <c r="D26" s="117">
        <v>234</v>
      </c>
      <c r="E26" s="85">
        <v>0</v>
      </c>
      <c r="F26" s="77">
        <f t="shared" si="0"/>
        <v>0</v>
      </c>
      <c r="G26" s="39"/>
      <c r="H26" s="39"/>
      <c r="I26" s="39"/>
      <c r="J26" s="39"/>
      <c r="K26" s="39"/>
      <c r="L26" s="39"/>
      <c r="M26" s="39"/>
      <c r="N26" s="39"/>
      <c r="O26" s="39"/>
    </row>
    <row r="27" spans="1:15" s="40" customFormat="1" ht="15">
      <c r="A27" s="107" t="s">
        <v>143</v>
      </c>
      <c r="B27" s="29" t="s">
        <v>152</v>
      </c>
      <c r="C27" s="107" t="s">
        <v>145</v>
      </c>
      <c r="D27" s="117">
        <v>264</v>
      </c>
      <c r="E27" s="85">
        <v>0</v>
      </c>
      <c r="F27" s="77">
        <f t="shared" si="0"/>
        <v>0</v>
      </c>
      <c r="G27" s="39"/>
      <c r="H27" s="39"/>
      <c r="I27" s="39"/>
      <c r="J27" s="39"/>
      <c r="K27" s="39"/>
      <c r="L27" s="39"/>
      <c r="M27" s="39"/>
      <c r="N27" s="39"/>
      <c r="O27" s="39"/>
    </row>
    <row r="28" spans="1:15" s="40" customFormat="1" ht="15">
      <c r="A28" s="41"/>
      <c r="B28" s="31"/>
      <c r="C28" s="31"/>
      <c r="D28" s="117"/>
      <c r="E28" s="85"/>
      <c r="F28" s="77"/>
      <c r="G28" s="39"/>
      <c r="H28" s="39"/>
      <c r="I28" s="39"/>
      <c r="J28" s="39"/>
      <c r="K28" s="39"/>
      <c r="L28" s="39"/>
      <c r="M28" s="39"/>
      <c r="N28" s="39"/>
      <c r="O28" s="39"/>
    </row>
    <row r="29" spans="1:15" s="40" customFormat="1" ht="15">
      <c r="A29" s="38" t="s">
        <v>205</v>
      </c>
      <c r="B29" s="31"/>
      <c r="C29" s="31"/>
      <c r="D29" s="117"/>
      <c r="E29" s="85"/>
      <c r="F29" s="77"/>
      <c r="G29" s="39"/>
      <c r="H29" s="39"/>
      <c r="I29" s="39"/>
      <c r="J29" s="39"/>
      <c r="K29" s="39"/>
      <c r="L29" s="39"/>
      <c r="M29" s="39"/>
      <c r="N29" s="39"/>
      <c r="O29" s="39"/>
    </row>
    <row r="30" spans="1:15" s="40" customFormat="1" ht="15">
      <c r="A30" s="41" t="s">
        <v>201</v>
      </c>
      <c r="B30" s="31" t="s">
        <v>150</v>
      </c>
      <c r="C30" s="31" t="s">
        <v>203</v>
      </c>
      <c r="D30" s="117">
        <v>280</v>
      </c>
      <c r="E30" s="85">
        <v>0</v>
      </c>
      <c r="F30" s="77">
        <f t="shared" si="0"/>
        <v>0</v>
      </c>
      <c r="G30" s="39"/>
      <c r="H30" s="39"/>
      <c r="I30" s="39"/>
      <c r="J30" s="39"/>
      <c r="K30" s="39"/>
      <c r="L30" s="39"/>
      <c r="M30" s="39"/>
      <c r="N30" s="39"/>
      <c r="O30" s="39"/>
    </row>
    <row r="31" spans="1:15" s="40" customFormat="1" ht="15">
      <c r="A31" s="125" t="s">
        <v>202</v>
      </c>
      <c r="B31" s="129" t="s">
        <v>152</v>
      </c>
      <c r="C31" s="129" t="s">
        <v>204</v>
      </c>
      <c r="D31" s="121">
        <v>465</v>
      </c>
      <c r="E31" s="122">
        <v>0</v>
      </c>
      <c r="F31" s="123">
        <f t="shared" si="0"/>
        <v>0</v>
      </c>
      <c r="G31" s="48"/>
      <c r="H31" s="39"/>
      <c r="I31" s="39"/>
      <c r="J31" s="39"/>
      <c r="K31" s="39"/>
      <c r="L31" s="39"/>
      <c r="M31" s="39"/>
      <c r="N31" s="39"/>
      <c r="O31" s="39"/>
    </row>
    <row r="32" spans="1:15" s="40" customFormat="1" ht="15">
      <c r="A32" s="41"/>
      <c r="B32" s="31"/>
      <c r="C32" s="31"/>
      <c r="D32" s="117"/>
      <c r="E32" s="85"/>
      <c r="F32" s="77"/>
      <c r="G32" s="48"/>
      <c r="H32" s="39"/>
      <c r="I32" s="39"/>
      <c r="J32" s="39"/>
      <c r="K32" s="39"/>
      <c r="L32" s="39"/>
      <c r="M32" s="39"/>
      <c r="N32" s="39"/>
      <c r="O32" s="39"/>
    </row>
    <row r="33" spans="1:15" s="40" customFormat="1" ht="15">
      <c r="A33" s="38" t="s">
        <v>165</v>
      </c>
      <c r="B33" s="31"/>
      <c r="C33" s="31"/>
      <c r="D33" s="117"/>
      <c r="E33" s="85"/>
      <c r="F33" s="77"/>
      <c r="G33" s="48"/>
      <c r="H33" s="39"/>
      <c r="I33" s="39"/>
      <c r="J33" s="39"/>
      <c r="K33" s="39"/>
      <c r="L33" s="39"/>
      <c r="M33" s="39"/>
      <c r="N33" s="39"/>
      <c r="O33" s="39"/>
    </row>
    <row r="34" spans="1:15" s="147" customFormat="1" ht="15">
      <c r="A34" s="125" t="s">
        <v>166</v>
      </c>
      <c r="B34" s="125" t="s">
        <v>167</v>
      </c>
      <c r="C34" s="125" t="s">
        <v>168</v>
      </c>
      <c r="D34" s="126">
        <v>817.36</v>
      </c>
      <c r="E34" s="127">
        <v>0</v>
      </c>
      <c r="F34" s="123">
        <f t="shared" si="0"/>
        <v>0</v>
      </c>
      <c r="G34" s="148"/>
      <c r="H34" s="146"/>
      <c r="I34" s="146"/>
      <c r="J34" s="146"/>
      <c r="K34" s="146"/>
      <c r="L34" s="146"/>
      <c r="M34" s="146"/>
      <c r="N34" s="146"/>
      <c r="O34" s="146"/>
    </row>
    <row r="35" spans="1:15" s="40" customFormat="1" ht="15">
      <c r="A35" s="41"/>
      <c r="B35" s="41"/>
      <c r="C35" s="41"/>
      <c r="D35" s="52"/>
      <c r="E35" s="86"/>
      <c r="F35" s="78"/>
      <c r="G35" s="48"/>
      <c r="H35" s="39"/>
      <c r="I35" s="39"/>
      <c r="J35" s="39"/>
      <c r="K35" s="39"/>
      <c r="L35" s="39"/>
      <c r="M35" s="39"/>
      <c r="N35" s="39"/>
      <c r="O35" s="39"/>
    </row>
    <row r="36" spans="1:15">
      <c r="A36" s="43"/>
      <c r="B36" s="43"/>
      <c r="C36" s="43"/>
      <c r="D36" s="54"/>
      <c r="E36" s="88"/>
      <c r="F36" s="79"/>
    </row>
    <row r="37" spans="1:15">
      <c r="A37" s="45" t="s">
        <v>106</v>
      </c>
      <c r="B37" s="46"/>
      <c r="C37" s="47"/>
      <c r="D37" s="53"/>
      <c r="E37" s="87"/>
      <c r="F37" s="53"/>
    </row>
    <row r="38" spans="1:15">
      <c r="A38" s="1" t="s">
        <v>0</v>
      </c>
      <c r="B38" s="2" t="s">
        <v>1</v>
      </c>
      <c r="C38" s="3" t="s">
        <v>2</v>
      </c>
      <c r="D38" s="71" t="s">
        <v>208</v>
      </c>
      <c r="E38" s="84"/>
      <c r="F38" s="75" t="s">
        <v>189</v>
      </c>
    </row>
    <row r="39" spans="1:15">
      <c r="A39" s="128" t="s">
        <v>107</v>
      </c>
      <c r="B39" s="129" t="s">
        <v>108</v>
      </c>
      <c r="C39" s="130" t="s">
        <v>109</v>
      </c>
      <c r="D39" s="126">
        <v>413</v>
      </c>
      <c r="E39" s="127">
        <v>0</v>
      </c>
      <c r="F39" s="123">
        <f t="shared" ref="F39:F49" si="1">D39*E39</f>
        <v>0</v>
      </c>
    </row>
    <row r="40" spans="1:15">
      <c r="A40" s="131" t="s">
        <v>110</v>
      </c>
      <c r="B40" s="132" t="s">
        <v>108</v>
      </c>
      <c r="C40" s="130" t="s">
        <v>111</v>
      </c>
      <c r="D40" s="126">
        <v>413</v>
      </c>
      <c r="E40" s="127">
        <v>0</v>
      </c>
      <c r="F40" s="123">
        <f t="shared" si="1"/>
        <v>0</v>
      </c>
    </row>
    <row r="41" spans="1:15">
      <c r="A41" s="131" t="s">
        <v>112</v>
      </c>
      <c r="B41" s="132" t="s">
        <v>108</v>
      </c>
      <c r="C41" s="130" t="s">
        <v>113</v>
      </c>
      <c r="D41" s="126">
        <v>413</v>
      </c>
      <c r="E41" s="127">
        <v>0</v>
      </c>
      <c r="F41" s="123">
        <f t="shared" si="1"/>
        <v>0</v>
      </c>
    </row>
    <row r="42" spans="1:15">
      <c r="A42" s="131" t="s">
        <v>114</v>
      </c>
      <c r="B42" s="132" t="s">
        <v>108</v>
      </c>
      <c r="C42" s="133" t="s">
        <v>115</v>
      </c>
      <c r="D42" s="126">
        <v>413</v>
      </c>
      <c r="E42" s="127">
        <v>0</v>
      </c>
      <c r="F42" s="123">
        <f t="shared" si="1"/>
        <v>0</v>
      </c>
    </row>
    <row r="43" spans="1:15">
      <c r="A43" s="131" t="s">
        <v>116</v>
      </c>
      <c r="B43" s="132" t="s">
        <v>108</v>
      </c>
      <c r="C43" s="133" t="s">
        <v>117</v>
      </c>
      <c r="D43" s="126">
        <v>413</v>
      </c>
      <c r="E43" s="127">
        <v>0</v>
      </c>
      <c r="F43" s="123">
        <f t="shared" si="1"/>
        <v>0</v>
      </c>
    </row>
    <row r="44" spans="1:15">
      <c r="A44" s="131" t="s">
        <v>118</v>
      </c>
      <c r="B44" s="132" t="s">
        <v>108</v>
      </c>
      <c r="C44" s="133" t="s">
        <v>119</v>
      </c>
      <c r="D44" s="126">
        <v>413</v>
      </c>
      <c r="E44" s="127">
        <v>0</v>
      </c>
      <c r="F44" s="123">
        <f t="shared" si="1"/>
        <v>0</v>
      </c>
    </row>
    <row r="45" spans="1:15">
      <c r="A45" s="131" t="s">
        <v>120</v>
      </c>
      <c r="B45" s="132" t="s">
        <v>108</v>
      </c>
      <c r="C45" s="133" t="s">
        <v>121</v>
      </c>
      <c r="D45" s="126">
        <v>413</v>
      </c>
      <c r="E45" s="127">
        <v>0</v>
      </c>
      <c r="F45" s="123">
        <f t="shared" si="1"/>
        <v>0</v>
      </c>
    </row>
    <row r="46" spans="1:15">
      <c r="A46" s="150" t="s">
        <v>122</v>
      </c>
      <c r="B46" s="151" t="s">
        <v>108</v>
      </c>
      <c r="C46" s="152" t="s">
        <v>123</v>
      </c>
      <c r="D46" s="153">
        <v>413</v>
      </c>
      <c r="E46" s="154">
        <v>0</v>
      </c>
      <c r="F46" s="155">
        <f t="shared" si="1"/>
        <v>0</v>
      </c>
    </row>
    <row r="47" spans="1:15">
      <c r="A47" s="131" t="s">
        <v>124</v>
      </c>
      <c r="B47" s="132" t="s">
        <v>108</v>
      </c>
      <c r="C47" s="133" t="s">
        <v>125</v>
      </c>
      <c r="D47" s="126">
        <v>413</v>
      </c>
      <c r="E47" s="127">
        <v>0</v>
      </c>
      <c r="F47" s="123">
        <f t="shared" si="1"/>
        <v>0</v>
      </c>
    </row>
    <row r="48" spans="1:15">
      <c r="A48" s="131" t="s">
        <v>126</v>
      </c>
      <c r="B48" s="132" t="s">
        <v>108</v>
      </c>
      <c r="C48" s="133" t="s">
        <v>127</v>
      </c>
      <c r="D48" s="126">
        <v>413</v>
      </c>
      <c r="E48" s="127">
        <v>0</v>
      </c>
      <c r="F48" s="123">
        <f t="shared" si="1"/>
        <v>0</v>
      </c>
    </row>
    <row r="49" spans="1:6">
      <c r="A49" s="131" t="s">
        <v>128</v>
      </c>
      <c r="B49" s="132" t="s">
        <v>108</v>
      </c>
      <c r="C49" s="133" t="s">
        <v>129</v>
      </c>
      <c r="D49" s="126">
        <v>413</v>
      </c>
      <c r="E49" s="127">
        <v>0</v>
      </c>
      <c r="F49" s="123">
        <f t="shared" si="1"/>
        <v>0</v>
      </c>
    </row>
    <row r="50" spans="1:6">
      <c r="A50" s="4"/>
      <c r="B50" s="5"/>
      <c r="C50" s="4"/>
      <c r="D50" s="55"/>
      <c r="E50" s="89"/>
      <c r="F50" s="80"/>
    </row>
    <row r="51" spans="1:6">
      <c r="A51" s="4"/>
      <c r="B51" s="5"/>
      <c r="C51" s="4"/>
      <c r="D51" s="55"/>
      <c r="E51" s="89"/>
      <c r="F51" s="80"/>
    </row>
    <row r="52" spans="1:6">
      <c r="A52" s="45" t="s">
        <v>226</v>
      </c>
      <c r="B52" s="46"/>
      <c r="C52" s="47"/>
      <c r="D52" s="53"/>
      <c r="E52" s="87"/>
      <c r="F52" s="53"/>
    </row>
    <row r="53" spans="1:6">
      <c r="A53" s="1" t="s">
        <v>0</v>
      </c>
      <c r="B53" s="2" t="s">
        <v>1</v>
      </c>
      <c r="C53" s="3" t="s">
        <v>2</v>
      </c>
      <c r="D53" s="71" t="s">
        <v>208</v>
      </c>
      <c r="E53" s="84"/>
      <c r="F53" s="75" t="s">
        <v>189</v>
      </c>
    </row>
    <row r="54" spans="1:6">
      <c r="A54" s="134" t="s">
        <v>227</v>
      </c>
      <c r="B54" s="129" t="s">
        <v>108</v>
      </c>
      <c r="C54" s="135" t="s">
        <v>109</v>
      </c>
      <c r="D54" s="136">
        <v>338.45</v>
      </c>
      <c r="E54" s="127">
        <v>0</v>
      </c>
      <c r="F54" s="123">
        <f t="shared" ref="F54:F67" si="2">D54*E54</f>
        <v>0</v>
      </c>
    </row>
    <row r="55" spans="1:6">
      <c r="A55" s="134" t="s">
        <v>228</v>
      </c>
      <c r="B55" s="132" t="s">
        <v>108</v>
      </c>
      <c r="C55" s="137" t="s">
        <v>111</v>
      </c>
      <c r="D55" s="136">
        <v>338.45</v>
      </c>
      <c r="E55" s="127">
        <v>0</v>
      </c>
      <c r="F55" s="123">
        <f t="shared" si="2"/>
        <v>0</v>
      </c>
    </row>
    <row r="56" spans="1:6">
      <c r="A56" s="134" t="s">
        <v>229</v>
      </c>
      <c r="B56" s="132" t="s">
        <v>108</v>
      </c>
      <c r="C56" s="137" t="s">
        <v>113</v>
      </c>
      <c r="D56" s="136">
        <v>338.45</v>
      </c>
      <c r="E56" s="127">
        <v>0</v>
      </c>
      <c r="F56" s="123">
        <f t="shared" si="2"/>
        <v>0</v>
      </c>
    </row>
    <row r="57" spans="1:6">
      <c r="A57" s="134" t="s">
        <v>230</v>
      </c>
      <c r="B57" s="132" t="s">
        <v>108</v>
      </c>
      <c r="C57" s="137" t="s">
        <v>115</v>
      </c>
      <c r="D57" s="136">
        <v>338.45</v>
      </c>
      <c r="E57" s="127">
        <v>0</v>
      </c>
      <c r="F57" s="123">
        <f t="shared" si="2"/>
        <v>0</v>
      </c>
    </row>
    <row r="58" spans="1:6">
      <c r="A58" s="134" t="s">
        <v>231</v>
      </c>
      <c r="B58" s="132" t="s">
        <v>108</v>
      </c>
      <c r="C58" s="137" t="s">
        <v>117</v>
      </c>
      <c r="D58" s="136">
        <v>338.45</v>
      </c>
      <c r="E58" s="127">
        <v>0</v>
      </c>
      <c r="F58" s="123">
        <f t="shared" si="2"/>
        <v>0</v>
      </c>
    </row>
    <row r="59" spans="1:6">
      <c r="A59" s="134" t="s">
        <v>232</v>
      </c>
      <c r="B59" s="132" t="s">
        <v>108</v>
      </c>
      <c r="C59" s="137" t="s">
        <v>119</v>
      </c>
      <c r="D59" s="136">
        <v>338.45</v>
      </c>
      <c r="E59" s="127">
        <v>0</v>
      </c>
      <c r="F59" s="123">
        <f t="shared" si="2"/>
        <v>0</v>
      </c>
    </row>
    <row r="60" spans="1:6">
      <c r="A60" s="134" t="s">
        <v>233</v>
      </c>
      <c r="B60" s="132" t="s">
        <v>108</v>
      </c>
      <c r="C60" s="137" t="s">
        <v>121</v>
      </c>
      <c r="D60" s="136">
        <v>338.45</v>
      </c>
      <c r="E60" s="127">
        <v>0</v>
      </c>
      <c r="F60" s="123">
        <f t="shared" si="2"/>
        <v>0</v>
      </c>
    </row>
    <row r="61" spans="1:6">
      <c r="A61" s="156" t="s">
        <v>234</v>
      </c>
      <c r="B61" s="151" t="s">
        <v>108</v>
      </c>
      <c r="C61" s="157" t="s">
        <v>256</v>
      </c>
      <c r="D61" s="158">
        <v>338.45</v>
      </c>
      <c r="E61" s="154">
        <v>0</v>
      </c>
      <c r="F61" s="155">
        <f t="shared" si="2"/>
        <v>0</v>
      </c>
    </row>
    <row r="62" spans="1:6">
      <c r="A62" s="134" t="s">
        <v>235</v>
      </c>
      <c r="B62" s="132" t="s">
        <v>108</v>
      </c>
      <c r="C62" s="137" t="s">
        <v>240</v>
      </c>
      <c r="D62" s="136">
        <v>338.45</v>
      </c>
      <c r="E62" s="127">
        <v>0</v>
      </c>
      <c r="F62" s="123">
        <f t="shared" si="2"/>
        <v>0</v>
      </c>
    </row>
    <row r="63" spans="1:6">
      <c r="A63" s="134" t="s">
        <v>236</v>
      </c>
      <c r="B63" s="132" t="s">
        <v>108</v>
      </c>
      <c r="C63" s="137" t="s">
        <v>127</v>
      </c>
      <c r="D63" s="136">
        <v>338.45</v>
      </c>
      <c r="E63" s="127">
        <v>0</v>
      </c>
      <c r="F63" s="123">
        <f t="shared" si="2"/>
        <v>0</v>
      </c>
    </row>
    <row r="64" spans="1:6">
      <c r="A64" s="134" t="s">
        <v>237</v>
      </c>
      <c r="B64" s="132" t="s">
        <v>108</v>
      </c>
      <c r="C64" s="137" t="s">
        <v>241</v>
      </c>
      <c r="D64" s="136">
        <v>338.45</v>
      </c>
      <c r="E64" s="127">
        <v>0</v>
      </c>
      <c r="F64" s="123">
        <f t="shared" si="2"/>
        <v>0</v>
      </c>
    </row>
    <row r="65" spans="1:6">
      <c r="A65" s="134" t="s">
        <v>238</v>
      </c>
      <c r="B65" s="138" t="s">
        <v>108</v>
      </c>
      <c r="C65" s="137" t="s">
        <v>242</v>
      </c>
      <c r="D65" s="136">
        <v>338.45</v>
      </c>
      <c r="E65" s="139">
        <v>0</v>
      </c>
      <c r="F65" s="140">
        <f t="shared" si="2"/>
        <v>0</v>
      </c>
    </row>
    <row r="66" spans="1:6">
      <c r="A66" s="41"/>
      <c r="B66" s="5"/>
      <c r="C66" s="41"/>
      <c r="D66" s="118"/>
      <c r="E66" s="89"/>
      <c r="F66" s="80"/>
    </row>
    <row r="67" spans="1:6" s="149" customFormat="1">
      <c r="A67" s="125" t="s">
        <v>239</v>
      </c>
      <c r="B67" s="138"/>
      <c r="C67" s="125" t="s">
        <v>243</v>
      </c>
      <c r="D67" s="136">
        <v>50.87</v>
      </c>
      <c r="E67" s="139">
        <v>0</v>
      </c>
      <c r="F67" s="140">
        <f t="shared" si="2"/>
        <v>0</v>
      </c>
    </row>
    <row r="68" spans="1:6">
      <c r="A68" s="4"/>
      <c r="B68" s="5"/>
      <c r="C68" s="4"/>
      <c r="D68" s="55"/>
      <c r="E68" s="89"/>
      <c r="F68" s="80"/>
    </row>
    <row r="69" spans="1:6">
      <c r="A69" s="41"/>
      <c r="B69" s="41"/>
      <c r="C69" s="41"/>
      <c r="D69" s="52"/>
      <c r="E69" s="86"/>
      <c r="F69" s="78"/>
    </row>
    <row r="70" spans="1:6">
      <c r="A70" s="50" t="s">
        <v>157</v>
      </c>
      <c r="B70" s="32"/>
      <c r="C70" s="32"/>
      <c r="D70" s="56"/>
      <c r="E70" s="90"/>
      <c r="F70" s="81"/>
    </row>
    <row r="71" spans="1:6">
      <c r="A71" s="1" t="s">
        <v>0</v>
      </c>
      <c r="B71" s="2" t="s">
        <v>1</v>
      </c>
      <c r="C71" s="3" t="s">
        <v>2</v>
      </c>
      <c r="D71" s="71" t="s">
        <v>209</v>
      </c>
      <c r="E71" s="84"/>
      <c r="F71" s="75" t="s">
        <v>189</v>
      </c>
    </row>
    <row r="72" spans="1:6">
      <c r="A72" s="128" t="s">
        <v>158</v>
      </c>
      <c r="B72" s="129" t="s">
        <v>159</v>
      </c>
      <c r="C72" s="130" t="s">
        <v>160</v>
      </c>
      <c r="D72" s="126">
        <v>648.32000000000005</v>
      </c>
      <c r="E72" s="127">
        <v>0</v>
      </c>
      <c r="F72" s="123">
        <f t="shared" ref="F72:F75" si="3">D72*E72</f>
        <v>0</v>
      </c>
    </row>
    <row r="73" spans="1:6">
      <c r="A73" s="134" t="s">
        <v>161</v>
      </c>
      <c r="B73" s="134" t="s">
        <v>162</v>
      </c>
      <c r="C73" s="134" t="s">
        <v>163</v>
      </c>
      <c r="D73" s="126">
        <v>107.41</v>
      </c>
      <c r="E73" s="127">
        <v>0</v>
      </c>
      <c r="F73" s="123">
        <f t="shared" si="3"/>
        <v>0</v>
      </c>
    </row>
    <row r="74" spans="1:6">
      <c r="A74" s="49"/>
      <c r="B74" s="49"/>
      <c r="C74" s="49"/>
      <c r="D74" s="116"/>
      <c r="E74" s="86"/>
      <c r="F74" s="77"/>
    </row>
    <row r="75" spans="1:6">
      <c r="A75" s="134" t="s">
        <v>130</v>
      </c>
      <c r="B75" s="134"/>
      <c r="C75" s="134" t="s">
        <v>164</v>
      </c>
      <c r="D75" s="126">
        <v>41.59</v>
      </c>
      <c r="E75" s="127">
        <v>0</v>
      </c>
      <c r="F75" s="123">
        <f t="shared" si="3"/>
        <v>0</v>
      </c>
    </row>
    <row r="78" spans="1:6">
      <c r="A78" s="91"/>
      <c r="B78" s="91"/>
      <c r="C78" s="91"/>
      <c r="D78" s="92"/>
      <c r="E78" s="93" t="s">
        <v>190</v>
      </c>
      <c r="F78" s="94">
        <f>SUM(F22:F76)</f>
        <v>0</v>
      </c>
    </row>
  </sheetData>
  <pageMargins left="0.75" right="0.75" top="1" bottom="1" header="0.5" footer="0.5"/>
  <pageSetup paperSize="9" scale="45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65"/>
  <sheetViews>
    <sheetView tabSelected="1" topLeftCell="A23" workbookViewId="0">
      <selection activeCell="B16" sqref="B16"/>
    </sheetView>
  </sheetViews>
  <sheetFormatPr defaultColWidth="11" defaultRowHeight="15.75"/>
  <cols>
    <col min="1" max="1" width="21.375" customWidth="1"/>
    <col min="2" max="2" width="16.875" customWidth="1"/>
    <col min="3" max="3" width="70.875" customWidth="1"/>
    <col min="4" max="6" width="20.875" style="26" customWidth="1"/>
  </cols>
  <sheetData>
    <row r="2" spans="1:6">
      <c r="A2" s="37"/>
      <c r="B2" s="21"/>
      <c r="C2" s="65"/>
    </row>
    <row r="3" spans="1:6">
      <c r="A3" s="37"/>
      <c r="B3" s="21"/>
      <c r="C3" s="65"/>
    </row>
    <row r="4" spans="1:6">
      <c r="A4" s="37"/>
      <c r="B4" s="21"/>
      <c r="C4" s="65"/>
    </row>
    <row r="5" spans="1:6">
      <c r="A5" s="37"/>
      <c r="B5" s="21"/>
      <c r="C5" s="65"/>
    </row>
    <row r="6" spans="1:6">
      <c r="A6" s="37"/>
      <c r="B6" s="21"/>
      <c r="C6" s="65"/>
    </row>
    <row r="7" spans="1:6" ht="31.5">
      <c r="A7" s="37" t="s">
        <v>255</v>
      </c>
      <c r="B7" s="21" t="s">
        <v>155</v>
      </c>
      <c r="C7" s="65" t="s">
        <v>254</v>
      </c>
      <c r="D7" s="28"/>
      <c r="E7" s="82"/>
      <c r="F7" s="73"/>
    </row>
    <row r="8" spans="1:6" ht="31.5">
      <c r="A8" s="64"/>
      <c r="B8" s="64"/>
      <c r="C8" s="64" t="s">
        <v>193</v>
      </c>
      <c r="D8" s="28"/>
      <c r="E8" s="82"/>
      <c r="F8" s="102" t="s">
        <v>80</v>
      </c>
    </row>
    <row r="9" spans="1:6">
      <c r="A9" s="66" t="s">
        <v>180</v>
      </c>
      <c r="B9" s="67"/>
      <c r="C9" s="65"/>
      <c r="E9" s="83"/>
      <c r="F9" s="72"/>
    </row>
    <row r="10" spans="1:6">
      <c r="A10" s="66" t="s">
        <v>181</v>
      </c>
      <c r="B10" s="67" t="s">
        <v>182</v>
      </c>
      <c r="E10" s="83"/>
      <c r="F10" s="72"/>
    </row>
    <row r="11" spans="1:6">
      <c r="A11" s="66" t="s">
        <v>183</v>
      </c>
      <c r="B11" s="66" t="s">
        <v>184</v>
      </c>
      <c r="E11" s="83"/>
      <c r="F11" s="72"/>
    </row>
    <row r="12" spans="1:6">
      <c r="A12" s="66"/>
      <c r="B12" s="38" t="s">
        <v>185</v>
      </c>
      <c r="E12" s="83"/>
      <c r="F12" s="72"/>
    </row>
    <row r="13" spans="1:6">
      <c r="A13" s="66"/>
      <c r="B13" s="68" t="s">
        <v>244</v>
      </c>
      <c r="E13" s="83"/>
      <c r="F13" s="72"/>
    </row>
    <row r="14" spans="1:6">
      <c r="A14" s="66"/>
      <c r="B14" s="68" t="s">
        <v>186</v>
      </c>
      <c r="E14" s="83"/>
      <c r="F14" s="72"/>
    </row>
    <row r="15" spans="1:6">
      <c r="A15" s="66"/>
      <c r="B15" s="68"/>
      <c r="E15" s="83"/>
      <c r="F15" s="72"/>
    </row>
    <row r="16" spans="1:6">
      <c r="A16" s="69" t="s">
        <v>187</v>
      </c>
      <c r="B16" s="66" t="s">
        <v>257</v>
      </c>
      <c r="E16" s="83"/>
      <c r="F16" s="72"/>
    </row>
    <row r="17" spans="1:6">
      <c r="A17" s="70"/>
      <c r="B17" s="70"/>
      <c r="E17" s="83"/>
      <c r="F17" s="72"/>
    </row>
    <row r="18" spans="1:6">
      <c r="A18" s="37"/>
      <c r="B18" s="21"/>
      <c r="C18" s="65"/>
    </row>
    <row r="19" spans="1:6">
      <c r="A19" s="57" t="s">
        <v>179</v>
      </c>
      <c r="B19" s="58"/>
      <c r="C19" s="59"/>
      <c r="D19" s="60"/>
      <c r="E19" s="101" t="s">
        <v>192</v>
      </c>
      <c r="F19" s="74"/>
    </row>
    <row r="20" spans="1:6">
      <c r="A20" s="1" t="s">
        <v>0</v>
      </c>
      <c r="B20" s="2" t="s">
        <v>1</v>
      </c>
      <c r="C20" s="3" t="s">
        <v>2</v>
      </c>
      <c r="D20" s="71" t="s">
        <v>208</v>
      </c>
      <c r="E20" s="95" t="s">
        <v>191</v>
      </c>
      <c r="F20" s="75" t="s">
        <v>189</v>
      </c>
    </row>
    <row r="21" spans="1:6">
      <c r="A21" s="141" t="s">
        <v>195</v>
      </c>
      <c r="B21" s="138" t="s">
        <v>156</v>
      </c>
      <c r="C21" s="141" t="s">
        <v>169</v>
      </c>
      <c r="D21" s="142">
        <v>217</v>
      </c>
      <c r="E21" s="143">
        <v>0</v>
      </c>
      <c r="F21" s="123">
        <f t="shared" ref="F21:F26" si="0">D21*E21</f>
        <v>0</v>
      </c>
    </row>
    <row r="22" spans="1:6">
      <c r="A22" s="141" t="s">
        <v>196</v>
      </c>
      <c r="B22" s="138" t="s">
        <v>156</v>
      </c>
      <c r="C22" s="141" t="s">
        <v>170</v>
      </c>
      <c r="D22" s="142">
        <v>217</v>
      </c>
      <c r="E22" s="143">
        <v>0</v>
      </c>
      <c r="F22" s="123">
        <f t="shared" si="0"/>
        <v>0</v>
      </c>
    </row>
    <row r="23" spans="1:6">
      <c r="A23" s="141" t="s">
        <v>197</v>
      </c>
      <c r="B23" s="138" t="s">
        <v>156</v>
      </c>
      <c r="C23" s="141" t="s">
        <v>171</v>
      </c>
      <c r="D23" s="142">
        <v>217</v>
      </c>
      <c r="E23" s="143">
        <v>0</v>
      </c>
      <c r="F23" s="123">
        <f t="shared" si="0"/>
        <v>0</v>
      </c>
    </row>
    <row r="24" spans="1:6">
      <c r="A24" s="141" t="s">
        <v>198</v>
      </c>
      <c r="B24" s="138" t="s">
        <v>156</v>
      </c>
      <c r="C24" s="141" t="s">
        <v>172</v>
      </c>
      <c r="D24" s="142">
        <v>217</v>
      </c>
      <c r="E24" s="143">
        <v>0</v>
      </c>
      <c r="F24" s="123">
        <f t="shared" si="0"/>
        <v>0</v>
      </c>
    </row>
    <row r="25" spans="1:6">
      <c r="A25" s="141" t="s">
        <v>199</v>
      </c>
      <c r="B25" s="138" t="s">
        <v>156</v>
      </c>
      <c r="C25" s="141" t="s">
        <v>173</v>
      </c>
      <c r="D25" s="142">
        <v>217</v>
      </c>
      <c r="E25" s="143">
        <v>0</v>
      </c>
      <c r="F25" s="123">
        <f t="shared" si="0"/>
        <v>0</v>
      </c>
    </row>
    <row r="26" spans="1:6">
      <c r="A26" s="141" t="s">
        <v>200</v>
      </c>
      <c r="B26" s="138" t="s">
        <v>156</v>
      </c>
      <c r="C26" s="141" t="s">
        <v>174</v>
      </c>
      <c r="D26" s="142">
        <v>217</v>
      </c>
      <c r="E26" s="143">
        <v>0</v>
      </c>
      <c r="F26" s="123">
        <f t="shared" si="0"/>
        <v>0</v>
      </c>
    </row>
    <row r="27" spans="1:6">
      <c r="A27" s="16"/>
      <c r="B27" s="5"/>
      <c r="C27" s="4"/>
      <c r="D27" s="55"/>
      <c r="E27" s="98"/>
      <c r="F27" s="96"/>
    </row>
    <row r="28" spans="1:6">
      <c r="A28" s="4"/>
      <c r="B28" s="5"/>
      <c r="C28" s="4"/>
      <c r="D28" s="55"/>
      <c r="E28" s="98"/>
      <c r="F28" s="96"/>
    </row>
    <row r="29" spans="1:6">
      <c r="A29" s="57" t="s">
        <v>214</v>
      </c>
      <c r="B29" s="58"/>
      <c r="C29" s="59"/>
      <c r="D29" s="61"/>
      <c r="E29" s="63"/>
      <c r="F29" s="63"/>
    </row>
    <row r="30" spans="1:6">
      <c r="A30" s="1" t="s">
        <v>0</v>
      </c>
      <c r="B30" s="2" t="s">
        <v>1</v>
      </c>
      <c r="C30" s="3" t="s">
        <v>2</v>
      </c>
      <c r="D30" s="71" t="s">
        <v>209</v>
      </c>
      <c r="E30" s="95" t="s">
        <v>191</v>
      </c>
      <c r="F30" s="75" t="s">
        <v>189</v>
      </c>
    </row>
    <row r="31" spans="1:6">
      <c r="A31" s="27"/>
      <c r="B31" s="5"/>
      <c r="C31" s="4"/>
      <c r="D31" s="55"/>
      <c r="E31" s="98"/>
      <c r="F31" s="96"/>
    </row>
    <row r="32" spans="1:6">
      <c r="A32" s="144" t="s">
        <v>175</v>
      </c>
      <c r="B32" s="138" t="s">
        <v>156</v>
      </c>
      <c r="C32" s="141" t="s">
        <v>176</v>
      </c>
      <c r="D32" s="140">
        <v>290</v>
      </c>
      <c r="E32" s="143">
        <v>0</v>
      </c>
      <c r="F32" s="123">
        <f t="shared" ref="F32:F33" si="1">D32*E32</f>
        <v>0</v>
      </c>
    </row>
    <row r="33" spans="1:6">
      <c r="A33" s="144" t="s">
        <v>177</v>
      </c>
      <c r="B33" s="138" t="s">
        <v>156</v>
      </c>
      <c r="C33" s="141" t="s">
        <v>178</v>
      </c>
      <c r="D33" s="140">
        <v>155</v>
      </c>
      <c r="E33" s="143">
        <v>0</v>
      </c>
      <c r="F33" s="123">
        <f t="shared" si="1"/>
        <v>0</v>
      </c>
    </row>
    <row r="34" spans="1:6">
      <c r="A34" s="109"/>
      <c r="B34" s="5"/>
      <c r="C34" s="4"/>
      <c r="D34" s="80"/>
      <c r="E34" s="98"/>
      <c r="F34" s="77"/>
    </row>
    <row r="35" spans="1:6">
      <c r="A35" s="144">
        <v>6701409310</v>
      </c>
      <c r="B35" s="138" t="s">
        <v>215</v>
      </c>
      <c r="C35" s="141" t="s">
        <v>216</v>
      </c>
      <c r="D35" s="140">
        <v>72</v>
      </c>
      <c r="E35" s="143">
        <v>0</v>
      </c>
      <c r="F35" s="123">
        <f t="shared" ref="F35:F36" si="2">D35*E35</f>
        <v>0</v>
      </c>
    </row>
    <row r="36" spans="1:6">
      <c r="A36" s="144" t="s">
        <v>245</v>
      </c>
      <c r="B36" s="145" t="s">
        <v>246</v>
      </c>
      <c r="C36" s="141" t="s">
        <v>247</v>
      </c>
      <c r="D36" s="140">
        <v>75</v>
      </c>
      <c r="E36" s="143">
        <v>0</v>
      </c>
      <c r="F36" s="123">
        <f t="shared" si="2"/>
        <v>0</v>
      </c>
    </row>
    <row r="37" spans="1:6">
      <c r="A37" s="109"/>
      <c r="B37" s="110"/>
      <c r="C37" s="4"/>
      <c r="D37" s="80"/>
      <c r="E37" s="98"/>
      <c r="F37" s="77"/>
    </row>
    <row r="38" spans="1:6">
      <c r="A38" s="109">
        <v>1000003390</v>
      </c>
      <c r="B38" s="110">
        <v>1</v>
      </c>
      <c r="C38" s="4" t="s">
        <v>219</v>
      </c>
      <c r="D38" s="80">
        <v>21.05</v>
      </c>
      <c r="E38" s="98">
        <v>0</v>
      </c>
      <c r="F38" s="77">
        <f t="shared" ref="F38" si="3">D38*E38</f>
        <v>0</v>
      </c>
    </row>
    <row r="39" spans="1:6">
      <c r="A39" s="144">
        <v>1000006736</v>
      </c>
      <c r="B39" s="145">
        <v>1</v>
      </c>
      <c r="C39" s="141" t="s">
        <v>220</v>
      </c>
      <c r="D39" s="140">
        <v>18.95</v>
      </c>
      <c r="E39" s="143">
        <v>0</v>
      </c>
      <c r="F39" s="123">
        <f t="shared" ref="F39" si="4">D39*E39</f>
        <v>0</v>
      </c>
    </row>
    <row r="40" spans="1:6">
      <c r="A40" s="144">
        <v>1000006517</v>
      </c>
      <c r="B40" s="145">
        <v>1</v>
      </c>
      <c r="C40" s="141" t="s">
        <v>221</v>
      </c>
      <c r="D40" s="140">
        <v>31.58</v>
      </c>
      <c r="E40" s="143">
        <v>0</v>
      </c>
      <c r="F40" s="123">
        <f>D40*E40</f>
        <v>0</v>
      </c>
    </row>
    <row r="41" spans="1:6">
      <c r="A41" s="109"/>
      <c r="B41" s="5"/>
      <c r="C41" s="4"/>
      <c r="D41" s="80"/>
      <c r="E41" s="98"/>
      <c r="F41" s="77"/>
    </row>
    <row r="42" spans="1:6">
      <c r="A42" s="109" t="s">
        <v>217</v>
      </c>
      <c r="B42" s="110">
        <v>1</v>
      </c>
      <c r="C42" s="4" t="s">
        <v>218</v>
      </c>
      <c r="D42" s="80">
        <v>196</v>
      </c>
      <c r="E42" s="98">
        <v>0</v>
      </c>
      <c r="F42" s="77">
        <f t="shared" ref="F42" si="5">D42*E42</f>
        <v>0</v>
      </c>
    </row>
    <row r="43" spans="1:6">
      <c r="D43" s="62"/>
      <c r="E43" s="62"/>
      <c r="F43" s="62"/>
    </row>
    <row r="44" spans="1:6">
      <c r="A44" s="6" t="s">
        <v>81</v>
      </c>
      <c r="B44" s="7"/>
      <c r="C44" s="8"/>
      <c r="D44" s="63"/>
      <c r="E44" s="63"/>
      <c r="F44" s="63"/>
    </row>
    <row r="45" spans="1:6">
      <c r="A45" s="1" t="s">
        <v>0</v>
      </c>
      <c r="B45" s="2" t="s">
        <v>1</v>
      </c>
      <c r="C45" s="3" t="s">
        <v>2</v>
      </c>
      <c r="D45" s="108" t="s">
        <v>207</v>
      </c>
      <c r="E45" s="95" t="s">
        <v>191</v>
      </c>
      <c r="F45" s="75" t="s">
        <v>189</v>
      </c>
    </row>
    <row r="46" spans="1:6" s="34" customFormat="1">
      <c r="A46" s="5" t="s">
        <v>210</v>
      </c>
      <c r="B46" s="5" t="s">
        <v>211</v>
      </c>
      <c r="C46" s="5" t="s">
        <v>212</v>
      </c>
      <c r="D46" s="111">
        <v>672</v>
      </c>
      <c r="E46" s="98">
        <v>0</v>
      </c>
      <c r="F46" s="77">
        <f t="shared" ref="F46:F62" si="6">D46*E46</f>
        <v>0</v>
      </c>
    </row>
    <row r="47" spans="1:6" s="34" customFormat="1">
      <c r="A47" s="5" t="s">
        <v>3</v>
      </c>
      <c r="B47" s="5" t="s">
        <v>4</v>
      </c>
      <c r="C47" s="5" t="s">
        <v>5</v>
      </c>
      <c r="D47" s="112">
        <v>1368</v>
      </c>
      <c r="E47" s="98">
        <v>0</v>
      </c>
      <c r="F47" s="77">
        <f t="shared" si="6"/>
        <v>0</v>
      </c>
    </row>
    <row r="48" spans="1:6" s="35" customFormat="1" ht="15">
      <c r="A48" s="5" t="s">
        <v>6</v>
      </c>
      <c r="B48" s="10" t="s">
        <v>7</v>
      </c>
      <c r="C48" s="10" t="s">
        <v>8</v>
      </c>
      <c r="D48" s="112">
        <v>335</v>
      </c>
      <c r="E48" s="98">
        <v>0</v>
      </c>
      <c r="F48" s="77">
        <f t="shared" si="6"/>
        <v>0</v>
      </c>
    </row>
    <row r="49" spans="1:15" s="35" customFormat="1" ht="15">
      <c r="A49" s="5" t="s">
        <v>9</v>
      </c>
      <c r="B49" s="10" t="s">
        <v>10</v>
      </c>
      <c r="C49" s="10" t="s">
        <v>8</v>
      </c>
      <c r="D49" s="112">
        <v>415</v>
      </c>
      <c r="E49" s="98">
        <v>0</v>
      </c>
      <c r="F49" s="77">
        <f t="shared" si="6"/>
        <v>0</v>
      </c>
    </row>
    <row r="50" spans="1:15" s="34" customFormat="1">
      <c r="A50" s="5" t="s">
        <v>206</v>
      </c>
      <c r="B50" s="5" t="s">
        <v>11</v>
      </c>
      <c r="C50" s="5" t="s">
        <v>104</v>
      </c>
      <c r="D50" s="112">
        <v>950</v>
      </c>
      <c r="E50" s="99">
        <v>0</v>
      </c>
      <c r="F50" s="77">
        <f t="shared" ref="F50" si="7">D50*E50</f>
        <v>0</v>
      </c>
    </row>
    <row r="51" spans="1:15" s="34" customFormat="1">
      <c r="A51" s="138" t="s">
        <v>12</v>
      </c>
      <c r="B51" s="138" t="s">
        <v>13</v>
      </c>
      <c r="C51" s="138" t="s">
        <v>14</v>
      </c>
      <c r="D51" s="142">
        <v>730</v>
      </c>
      <c r="E51" s="143">
        <v>0</v>
      </c>
      <c r="F51" s="123">
        <f t="shared" si="6"/>
        <v>0</v>
      </c>
    </row>
    <row r="52" spans="1:15" s="34" customFormat="1">
      <c r="A52" s="5" t="s">
        <v>15</v>
      </c>
      <c r="B52" s="14" t="s">
        <v>16</v>
      </c>
      <c r="C52" s="14" t="s">
        <v>14</v>
      </c>
      <c r="D52" s="114">
        <v>1355</v>
      </c>
      <c r="E52" s="99">
        <v>0</v>
      </c>
      <c r="F52" s="77">
        <f t="shared" si="6"/>
        <v>0</v>
      </c>
    </row>
    <row r="53" spans="1:15" s="34" customFormat="1">
      <c r="A53" s="138" t="s">
        <v>17</v>
      </c>
      <c r="B53" s="138" t="s">
        <v>18</v>
      </c>
      <c r="C53" s="138" t="s">
        <v>19</v>
      </c>
      <c r="D53" s="142">
        <v>197</v>
      </c>
      <c r="E53" s="143">
        <v>0</v>
      </c>
      <c r="F53" s="123">
        <f t="shared" si="6"/>
        <v>0</v>
      </c>
    </row>
    <row r="54" spans="1:15" s="34" customFormat="1">
      <c r="A54" s="5" t="s">
        <v>20</v>
      </c>
      <c r="B54" s="5" t="s">
        <v>21</v>
      </c>
      <c r="C54" s="5" t="s">
        <v>105</v>
      </c>
      <c r="D54" s="112">
        <v>197</v>
      </c>
      <c r="E54" s="98">
        <v>0</v>
      </c>
      <c r="F54" s="77">
        <f t="shared" si="6"/>
        <v>0</v>
      </c>
    </row>
    <row r="55" spans="1:15" s="34" customFormat="1">
      <c r="A55" s="23" t="s">
        <v>222</v>
      </c>
      <c r="B55" s="19" t="s">
        <v>23</v>
      </c>
      <c r="C55" s="10" t="s">
        <v>223</v>
      </c>
      <c r="D55" s="112">
        <v>642</v>
      </c>
      <c r="E55" s="98">
        <v>0</v>
      </c>
      <c r="F55" s="77">
        <f t="shared" si="6"/>
        <v>0</v>
      </c>
    </row>
    <row r="56" spans="1:15" s="34" customFormat="1">
      <c r="A56" s="10" t="s">
        <v>24</v>
      </c>
      <c r="B56" s="19" t="s">
        <v>25</v>
      </c>
      <c r="C56" s="10" t="s">
        <v>103</v>
      </c>
      <c r="D56" s="112">
        <v>684</v>
      </c>
      <c r="E56" s="98">
        <v>0</v>
      </c>
      <c r="F56" s="77">
        <f t="shared" si="6"/>
        <v>0</v>
      </c>
    </row>
    <row r="57" spans="1:15" s="34" customFormat="1">
      <c r="A57" s="14" t="s">
        <v>74</v>
      </c>
      <c r="B57" s="20" t="s">
        <v>26</v>
      </c>
      <c r="C57" s="14" t="s">
        <v>27</v>
      </c>
      <c r="D57" s="114">
        <v>395</v>
      </c>
      <c r="E57" s="99">
        <v>0</v>
      </c>
      <c r="F57" s="77">
        <f t="shared" si="6"/>
        <v>0</v>
      </c>
    </row>
    <row r="58" spans="1:15" s="34" customFormat="1">
      <c r="A58" s="23" t="s">
        <v>75</v>
      </c>
      <c r="B58" s="22" t="s">
        <v>28</v>
      </c>
      <c r="C58" s="23" t="s">
        <v>29</v>
      </c>
      <c r="D58" s="113">
        <v>395</v>
      </c>
      <c r="E58" s="100">
        <v>0</v>
      </c>
      <c r="F58" s="77">
        <f t="shared" si="6"/>
        <v>0</v>
      </c>
    </row>
    <row r="59" spans="1:15" s="34" customFormat="1">
      <c r="A59" s="23" t="s">
        <v>76</v>
      </c>
      <c r="B59" s="5" t="s">
        <v>22</v>
      </c>
      <c r="C59" s="23" t="s">
        <v>77</v>
      </c>
      <c r="D59" s="113">
        <v>806</v>
      </c>
      <c r="E59" s="100">
        <v>0</v>
      </c>
      <c r="F59" s="77">
        <f t="shared" si="6"/>
        <v>0</v>
      </c>
    </row>
    <row r="60" spans="1:15">
      <c r="A60" s="14" t="s">
        <v>137</v>
      </c>
      <c r="B60" s="20" t="s">
        <v>30</v>
      </c>
      <c r="C60" s="14" t="s">
        <v>248</v>
      </c>
      <c r="D60" s="114">
        <v>887</v>
      </c>
      <c r="E60" s="99">
        <v>0</v>
      </c>
      <c r="F60" s="77">
        <f t="shared" si="6"/>
        <v>0</v>
      </c>
      <c r="G60" s="12"/>
      <c r="H60" s="12"/>
      <c r="I60" s="12"/>
      <c r="J60" s="12"/>
      <c r="K60" s="12"/>
      <c r="L60" s="12"/>
      <c r="M60" s="12"/>
      <c r="N60" s="12"/>
      <c r="O60" s="12"/>
    </row>
    <row r="61" spans="1:15">
      <c r="A61" s="14" t="s">
        <v>138</v>
      </c>
      <c r="B61" s="20" t="s">
        <v>30</v>
      </c>
      <c r="C61" s="14" t="s">
        <v>249</v>
      </c>
      <c r="D61" s="114">
        <v>887</v>
      </c>
      <c r="E61" s="99">
        <v>0</v>
      </c>
      <c r="F61" s="77">
        <f t="shared" si="6"/>
        <v>0</v>
      </c>
      <c r="G61" s="12"/>
      <c r="H61" s="12"/>
      <c r="I61" s="12"/>
      <c r="J61" s="12"/>
      <c r="K61" s="12"/>
      <c r="L61" s="12"/>
      <c r="M61" s="12"/>
      <c r="N61" s="12"/>
      <c r="O61" s="12"/>
    </row>
    <row r="62" spans="1:15">
      <c r="A62" s="14" t="s">
        <v>139</v>
      </c>
      <c r="B62" s="20" t="s">
        <v>30</v>
      </c>
      <c r="C62" s="14" t="s">
        <v>250</v>
      </c>
      <c r="D62" s="114">
        <v>887</v>
      </c>
      <c r="E62" s="99">
        <v>0</v>
      </c>
      <c r="F62" s="77">
        <f t="shared" si="6"/>
        <v>0</v>
      </c>
      <c r="G62" s="12"/>
      <c r="H62" s="12"/>
      <c r="I62" s="12"/>
      <c r="J62" s="12"/>
      <c r="K62" s="12"/>
      <c r="L62" s="12"/>
      <c r="M62" s="12"/>
      <c r="N62" s="12"/>
      <c r="O62" s="12"/>
    </row>
    <row r="63" spans="1:15">
      <c r="A63" s="4"/>
      <c r="B63" s="5"/>
      <c r="C63" s="4"/>
      <c r="D63" s="55"/>
      <c r="E63" s="98"/>
      <c r="F63" s="96"/>
    </row>
    <row r="64" spans="1:15">
      <c r="A64" s="4"/>
      <c r="B64" s="5"/>
      <c r="C64" s="4"/>
      <c r="D64" s="25"/>
      <c r="E64" s="97"/>
      <c r="F64" s="97"/>
    </row>
    <row r="65" spans="1:6">
      <c r="A65" s="91"/>
      <c r="B65" s="91"/>
      <c r="C65" s="91"/>
      <c r="D65" s="92"/>
      <c r="E65" s="93" t="s">
        <v>190</v>
      </c>
      <c r="F65" s="94">
        <f>SUM(F21:F62)</f>
        <v>0</v>
      </c>
    </row>
  </sheetData>
  <pageMargins left="0.75" right="0.75" top="1" bottom="1" header="0.5" footer="0.5"/>
  <pageSetup paperSize="9" scale="47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7:Q71"/>
  <sheetViews>
    <sheetView workbookViewId="0">
      <selection activeCell="B16" sqref="B16"/>
    </sheetView>
  </sheetViews>
  <sheetFormatPr defaultColWidth="11" defaultRowHeight="15.75"/>
  <cols>
    <col min="1" max="1" width="21.375" customWidth="1"/>
    <col min="2" max="2" width="16.875" customWidth="1"/>
    <col min="3" max="3" width="70.875" customWidth="1"/>
    <col min="4" max="6" width="20.875" style="26" customWidth="1"/>
  </cols>
  <sheetData>
    <row r="7" spans="1:8" ht="31.5">
      <c r="A7" s="37" t="s">
        <v>255</v>
      </c>
      <c r="B7" s="21" t="s">
        <v>155</v>
      </c>
      <c r="C7" s="65" t="s">
        <v>254</v>
      </c>
      <c r="D7" s="28"/>
      <c r="E7" s="28"/>
      <c r="F7" s="28"/>
      <c r="G7" s="82"/>
      <c r="H7" s="73"/>
    </row>
    <row r="8" spans="1:8" ht="31.5">
      <c r="A8" s="64"/>
      <c r="B8" s="64"/>
      <c r="C8" s="64" t="s">
        <v>213</v>
      </c>
      <c r="D8" s="28"/>
      <c r="E8" s="28"/>
      <c r="F8" s="102" t="s">
        <v>80</v>
      </c>
      <c r="G8" s="82"/>
      <c r="H8" s="73"/>
    </row>
    <row r="9" spans="1:8">
      <c r="A9" s="66" t="s">
        <v>180</v>
      </c>
      <c r="B9" s="67"/>
      <c r="C9" s="65"/>
      <c r="G9" s="83"/>
      <c r="H9" s="72"/>
    </row>
    <row r="10" spans="1:8">
      <c r="A10" s="66" t="s">
        <v>181</v>
      </c>
      <c r="B10" s="67" t="s">
        <v>182</v>
      </c>
      <c r="G10" s="83"/>
      <c r="H10" s="72"/>
    </row>
    <row r="11" spans="1:8">
      <c r="A11" s="66" t="s">
        <v>183</v>
      </c>
      <c r="B11" s="66" t="s">
        <v>184</v>
      </c>
      <c r="G11" s="83"/>
      <c r="H11" s="72"/>
    </row>
    <row r="12" spans="1:8">
      <c r="A12" s="66"/>
      <c r="B12" s="38" t="s">
        <v>185</v>
      </c>
      <c r="G12" s="83"/>
      <c r="H12" s="72"/>
    </row>
    <row r="13" spans="1:8">
      <c r="A13" s="66"/>
      <c r="B13" s="68" t="s">
        <v>244</v>
      </c>
      <c r="G13" s="83"/>
      <c r="H13" s="72"/>
    </row>
    <row r="14" spans="1:8">
      <c r="A14" s="66"/>
      <c r="B14" s="68" t="s">
        <v>186</v>
      </c>
      <c r="G14" s="83"/>
      <c r="H14" s="72"/>
    </row>
    <row r="15" spans="1:8">
      <c r="A15" s="66"/>
      <c r="B15" s="68"/>
      <c r="G15" s="83"/>
      <c r="H15" s="72"/>
    </row>
    <row r="16" spans="1:8">
      <c r="A16" s="69" t="s">
        <v>187</v>
      </c>
      <c r="B16" s="66" t="s">
        <v>257</v>
      </c>
      <c r="G16" s="83"/>
      <c r="H16" s="72"/>
    </row>
    <row r="17" spans="1:8">
      <c r="A17" s="70"/>
      <c r="B17" s="70"/>
      <c r="G17" s="83"/>
      <c r="H17" s="72"/>
    </row>
    <row r="18" spans="1:8">
      <c r="A18" s="37"/>
      <c r="B18" s="21"/>
      <c r="C18" s="65"/>
    </row>
    <row r="19" spans="1:8">
      <c r="A19" s="37"/>
    </row>
    <row r="20" spans="1:8">
      <c r="A20" s="45" t="s">
        <v>84</v>
      </c>
      <c r="B20" s="46"/>
      <c r="C20" s="47"/>
      <c r="D20" s="103"/>
      <c r="E20" s="104" t="s">
        <v>192</v>
      </c>
      <c r="F20" s="103"/>
    </row>
    <row r="21" spans="1:8">
      <c r="A21" s="1" t="s">
        <v>0</v>
      </c>
      <c r="B21" s="2" t="s">
        <v>1</v>
      </c>
      <c r="C21" s="3" t="s">
        <v>2</v>
      </c>
      <c r="D21" s="71" t="s">
        <v>188</v>
      </c>
      <c r="E21" s="95" t="s">
        <v>191</v>
      </c>
      <c r="F21" s="75" t="s">
        <v>189</v>
      </c>
    </row>
    <row r="22" spans="1:8">
      <c r="A22" s="16" t="s">
        <v>31</v>
      </c>
      <c r="B22" s="33" t="s">
        <v>32</v>
      </c>
      <c r="C22" s="16" t="s">
        <v>33</v>
      </c>
      <c r="D22" s="113">
        <v>898</v>
      </c>
      <c r="E22" s="98">
        <v>0</v>
      </c>
      <c r="F22" s="77">
        <f t="shared" ref="F22" si="0">D22*E22</f>
        <v>0</v>
      </c>
    </row>
    <row r="23" spans="1:8">
      <c r="A23" s="16" t="s">
        <v>34</v>
      </c>
      <c r="B23" s="33" t="s">
        <v>32</v>
      </c>
      <c r="C23" s="16" t="s">
        <v>35</v>
      </c>
      <c r="D23" s="113">
        <v>898</v>
      </c>
      <c r="E23" s="98">
        <v>0</v>
      </c>
      <c r="F23" s="77">
        <f t="shared" ref="F23:F44" si="1">D23*E23</f>
        <v>0</v>
      </c>
    </row>
    <row r="24" spans="1:8" s="13" customFormat="1" ht="15">
      <c r="A24" s="17" t="s">
        <v>82</v>
      </c>
      <c r="B24" s="33" t="s">
        <v>32</v>
      </c>
      <c r="C24" s="16" t="s">
        <v>83</v>
      </c>
      <c r="D24" s="113">
        <v>898</v>
      </c>
      <c r="E24" s="98">
        <v>0</v>
      </c>
      <c r="F24" s="77">
        <f t="shared" si="1"/>
        <v>0</v>
      </c>
    </row>
    <row r="25" spans="1:8" s="13" customFormat="1" ht="15">
      <c r="A25" s="17" t="s">
        <v>36</v>
      </c>
      <c r="B25" s="33" t="s">
        <v>32</v>
      </c>
      <c r="C25" s="16" t="s">
        <v>37</v>
      </c>
      <c r="D25" s="113">
        <v>898</v>
      </c>
      <c r="E25" s="98">
        <v>0</v>
      </c>
      <c r="F25" s="77">
        <f t="shared" si="1"/>
        <v>0</v>
      </c>
    </row>
    <row r="26" spans="1:8" s="13" customFormat="1" ht="15">
      <c r="A26" s="5" t="s">
        <v>38</v>
      </c>
      <c r="B26" s="29" t="s">
        <v>32</v>
      </c>
      <c r="C26" s="11" t="s">
        <v>39</v>
      </c>
      <c r="D26" s="113">
        <v>898</v>
      </c>
      <c r="E26" s="98">
        <v>0</v>
      </c>
      <c r="F26" s="77">
        <f t="shared" si="1"/>
        <v>0</v>
      </c>
    </row>
    <row r="27" spans="1:8" s="13" customFormat="1" ht="15">
      <c r="A27" s="9" t="s">
        <v>40</v>
      </c>
      <c r="B27" s="29" t="s">
        <v>32</v>
      </c>
      <c r="C27" s="11" t="s">
        <v>41</v>
      </c>
      <c r="D27" s="113">
        <v>898</v>
      </c>
      <c r="E27" s="98">
        <v>0</v>
      </c>
      <c r="F27" s="77">
        <f t="shared" si="1"/>
        <v>0</v>
      </c>
    </row>
    <row r="28" spans="1:8">
      <c r="A28" s="17" t="s">
        <v>42</v>
      </c>
      <c r="B28" s="29" t="s">
        <v>32</v>
      </c>
      <c r="C28" s="17" t="s">
        <v>43</v>
      </c>
      <c r="D28" s="113">
        <v>898</v>
      </c>
      <c r="E28" s="98">
        <v>0</v>
      </c>
      <c r="F28" s="77">
        <f t="shared" si="1"/>
        <v>0</v>
      </c>
    </row>
    <row r="29" spans="1:8">
      <c r="A29" s="4" t="s">
        <v>44</v>
      </c>
      <c r="B29" s="29" t="s">
        <v>32</v>
      </c>
      <c r="C29" s="17" t="s">
        <v>45</v>
      </c>
      <c r="D29" s="113">
        <v>898</v>
      </c>
      <c r="E29" s="98">
        <v>0</v>
      </c>
      <c r="F29" s="77">
        <f t="shared" si="1"/>
        <v>0</v>
      </c>
    </row>
    <row r="30" spans="1:8">
      <c r="A30" s="9" t="s">
        <v>46</v>
      </c>
      <c r="B30" s="30" t="s">
        <v>47</v>
      </c>
      <c r="C30" s="24" t="s">
        <v>73</v>
      </c>
      <c r="D30" s="113">
        <v>898</v>
      </c>
      <c r="E30" s="98">
        <v>0</v>
      </c>
      <c r="F30" s="77">
        <f t="shared" si="1"/>
        <v>0</v>
      </c>
    </row>
    <row r="31" spans="1:8">
      <c r="A31" s="4" t="s">
        <v>48</v>
      </c>
      <c r="B31" s="29" t="s">
        <v>32</v>
      </c>
      <c r="C31" s="17" t="s">
        <v>49</v>
      </c>
      <c r="D31" s="113">
        <v>898</v>
      </c>
      <c r="E31" s="98">
        <v>0</v>
      </c>
      <c r="F31" s="77">
        <f t="shared" si="1"/>
        <v>0</v>
      </c>
    </row>
    <row r="32" spans="1:8">
      <c r="A32" s="4" t="s">
        <v>50</v>
      </c>
      <c r="B32" s="29" t="s">
        <v>32</v>
      </c>
      <c r="C32" s="17" t="s">
        <v>51</v>
      </c>
      <c r="D32" s="113">
        <v>898</v>
      </c>
      <c r="E32" s="98">
        <v>0</v>
      </c>
      <c r="F32" s="77">
        <f t="shared" si="1"/>
        <v>0</v>
      </c>
    </row>
    <row r="33" spans="1:17">
      <c r="A33" s="5" t="s">
        <v>52</v>
      </c>
      <c r="B33" s="17" t="s">
        <v>53</v>
      </c>
      <c r="C33" s="17" t="s">
        <v>54</v>
      </c>
      <c r="D33" s="113">
        <v>693</v>
      </c>
      <c r="E33" s="98">
        <v>0</v>
      </c>
      <c r="F33" s="77">
        <f t="shared" si="1"/>
        <v>0</v>
      </c>
    </row>
    <row r="34" spans="1:17">
      <c r="A34" s="5" t="s">
        <v>140</v>
      </c>
      <c r="B34" s="17" t="s">
        <v>53</v>
      </c>
      <c r="C34" s="17" t="s">
        <v>154</v>
      </c>
      <c r="D34" s="113">
        <v>693</v>
      </c>
      <c r="E34" s="98">
        <v>0</v>
      </c>
      <c r="F34" s="77">
        <f t="shared" si="1"/>
        <v>0</v>
      </c>
    </row>
    <row r="35" spans="1:17">
      <c r="A35" s="5" t="s">
        <v>224</v>
      </c>
      <c r="B35" s="17" t="s">
        <v>53</v>
      </c>
      <c r="C35" s="17" t="s">
        <v>225</v>
      </c>
      <c r="D35" s="113">
        <v>693</v>
      </c>
      <c r="E35" s="98">
        <v>0</v>
      </c>
      <c r="F35" s="77">
        <f t="shared" si="1"/>
        <v>0</v>
      </c>
    </row>
    <row r="36" spans="1:17">
      <c r="A36" s="4" t="s">
        <v>55</v>
      </c>
      <c r="B36" s="29" t="s">
        <v>32</v>
      </c>
      <c r="C36" s="17" t="s">
        <v>56</v>
      </c>
      <c r="D36" s="113">
        <v>898</v>
      </c>
      <c r="E36" s="98">
        <v>0</v>
      </c>
      <c r="F36" s="77">
        <f t="shared" si="1"/>
        <v>0</v>
      </c>
    </row>
    <row r="37" spans="1:17">
      <c r="A37" s="4" t="s">
        <v>57</v>
      </c>
      <c r="B37" s="29" t="s">
        <v>32</v>
      </c>
      <c r="C37" s="17" t="s">
        <v>58</v>
      </c>
      <c r="D37" s="113">
        <v>898</v>
      </c>
      <c r="E37" s="98">
        <v>0</v>
      </c>
      <c r="F37" s="77">
        <f t="shared" si="1"/>
        <v>0</v>
      </c>
    </row>
    <row r="38" spans="1:17">
      <c r="A38" s="5" t="s">
        <v>59</v>
      </c>
      <c r="B38" s="29" t="s">
        <v>32</v>
      </c>
      <c r="C38" s="17" t="s">
        <v>60</v>
      </c>
      <c r="D38" s="113">
        <v>898</v>
      </c>
      <c r="E38" s="98">
        <v>0</v>
      </c>
      <c r="F38" s="77">
        <f t="shared" si="1"/>
        <v>0</v>
      </c>
    </row>
    <row r="39" spans="1:17">
      <c r="A39" s="17" t="s">
        <v>61</v>
      </c>
      <c r="B39" s="33" t="s">
        <v>32</v>
      </c>
      <c r="C39" s="17" t="s">
        <v>62</v>
      </c>
      <c r="D39" s="113">
        <v>898</v>
      </c>
      <c r="E39" s="98">
        <v>0</v>
      </c>
      <c r="F39" s="77">
        <f t="shared" si="1"/>
        <v>0</v>
      </c>
      <c r="G39" s="12"/>
      <c r="H39" s="21"/>
      <c r="I39" s="12"/>
      <c r="J39" s="12"/>
      <c r="K39" s="12"/>
      <c r="L39" s="12"/>
      <c r="M39" s="12"/>
      <c r="N39" s="12"/>
      <c r="O39" s="12"/>
      <c r="P39" s="12"/>
      <c r="Q39" s="12"/>
    </row>
    <row r="40" spans="1:17">
      <c r="A40" s="4" t="s">
        <v>63</v>
      </c>
      <c r="B40" s="29" t="s">
        <v>32</v>
      </c>
      <c r="C40" s="5" t="s">
        <v>64</v>
      </c>
      <c r="D40" s="113">
        <v>898</v>
      </c>
      <c r="E40" s="98">
        <v>0</v>
      </c>
      <c r="F40" s="77">
        <f t="shared" si="1"/>
        <v>0</v>
      </c>
      <c r="G40" s="12"/>
      <c r="H40" s="21"/>
      <c r="I40" s="12"/>
      <c r="J40" s="12"/>
      <c r="K40" s="12"/>
      <c r="L40" s="12"/>
      <c r="M40" s="12"/>
      <c r="N40" s="12"/>
      <c r="O40" s="12"/>
      <c r="P40" s="12"/>
      <c r="Q40" s="12"/>
    </row>
    <row r="41" spans="1:17">
      <c r="A41" s="23" t="s">
        <v>65</v>
      </c>
      <c r="B41" s="33" t="s">
        <v>32</v>
      </c>
      <c r="C41" s="17" t="s">
        <v>66</v>
      </c>
      <c r="D41" s="113">
        <v>898</v>
      </c>
      <c r="E41" s="98">
        <v>0</v>
      </c>
      <c r="F41" s="77">
        <f t="shared" si="1"/>
        <v>0</v>
      </c>
      <c r="G41" s="12"/>
      <c r="H41" s="21"/>
      <c r="I41" s="12"/>
      <c r="J41" s="12"/>
      <c r="K41" s="12"/>
      <c r="L41" s="12"/>
      <c r="M41" s="12"/>
      <c r="N41" s="12"/>
      <c r="O41" s="12"/>
      <c r="P41" s="12"/>
      <c r="Q41" s="12"/>
    </row>
    <row r="42" spans="1:17">
      <c r="A42" s="18" t="s">
        <v>67</v>
      </c>
      <c r="B42" s="29" t="s">
        <v>32</v>
      </c>
      <c r="C42" s="17" t="s">
        <v>68</v>
      </c>
      <c r="D42" s="113">
        <v>898</v>
      </c>
      <c r="E42" s="98">
        <v>0</v>
      </c>
      <c r="F42" s="77">
        <f t="shared" si="1"/>
        <v>0</v>
      </c>
      <c r="G42" s="12"/>
      <c r="H42" s="21"/>
      <c r="I42" s="12"/>
      <c r="J42" s="12"/>
      <c r="K42" s="12"/>
      <c r="L42" s="12"/>
      <c r="M42" s="12"/>
      <c r="N42" s="12"/>
      <c r="O42" s="12"/>
      <c r="P42" s="12"/>
      <c r="Q42" s="12"/>
    </row>
    <row r="43" spans="1:17">
      <c r="A43" s="15" t="s">
        <v>69</v>
      </c>
      <c r="B43" s="29" t="s">
        <v>32</v>
      </c>
      <c r="C43" s="24" t="s">
        <v>70</v>
      </c>
      <c r="D43" s="113">
        <v>385</v>
      </c>
      <c r="E43" s="98">
        <v>0</v>
      </c>
      <c r="F43" s="77">
        <f t="shared" si="1"/>
        <v>0</v>
      </c>
      <c r="G43" s="12"/>
      <c r="H43" s="21"/>
      <c r="I43" s="12"/>
      <c r="J43" s="12"/>
      <c r="K43" s="12"/>
      <c r="L43" s="12"/>
      <c r="M43" s="12"/>
      <c r="N43" s="12"/>
      <c r="O43" s="12"/>
      <c r="P43" s="12"/>
      <c r="Q43" s="12"/>
    </row>
    <row r="44" spans="1:17">
      <c r="A44" s="18" t="s">
        <v>71</v>
      </c>
      <c r="B44" s="29" t="s">
        <v>32</v>
      </c>
      <c r="C44" s="17" t="s">
        <v>72</v>
      </c>
      <c r="D44" s="113">
        <v>385</v>
      </c>
      <c r="E44" s="98">
        <v>0</v>
      </c>
      <c r="F44" s="77">
        <f t="shared" si="1"/>
        <v>0</v>
      </c>
    </row>
    <row r="45" spans="1:17">
      <c r="A45" s="27">
        <v>7200</v>
      </c>
      <c r="B45" s="5" t="s">
        <v>78</v>
      </c>
      <c r="C45" s="4" t="s">
        <v>79</v>
      </c>
      <c r="D45" s="112">
        <v>22</v>
      </c>
      <c r="E45" s="98"/>
      <c r="F45" s="77"/>
    </row>
    <row r="46" spans="1:17">
      <c r="A46" s="4"/>
      <c r="B46" s="5"/>
      <c r="C46" s="4"/>
      <c r="D46" s="55"/>
      <c r="E46" s="96"/>
      <c r="F46" s="96"/>
    </row>
    <row r="47" spans="1:17">
      <c r="A47" s="4"/>
      <c r="B47" s="5"/>
      <c r="C47" s="4"/>
      <c r="D47" s="55"/>
      <c r="E47" s="96"/>
      <c r="F47" s="96"/>
    </row>
    <row r="48" spans="1:17">
      <c r="A48" s="6" t="s">
        <v>85</v>
      </c>
      <c r="B48" s="7"/>
      <c r="C48" s="44" t="s">
        <v>153</v>
      </c>
      <c r="D48" s="63"/>
      <c r="E48" s="63"/>
      <c r="F48" s="63"/>
    </row>
    <row r="49" spans="1:7">
      <c r="A49" s="1" t="s">
        <v>0</v>
      </c>
      <c r="B49" s="2" t="s">
        <v>1</v>
      </c>
      <c r="C49" s="3" t="s">
        <v>2</v>
      </c>
      <c r="D49" s="71" t="s">
        <v>188</v>
      </c>
      <c r="E49" s="95" t="s">
        <v>191</v>
      </c>
      <c r="F49" s="75" t="s">
        <v>189</v>
      </c>
    </row>
    <row r="50" spans="1:7">
      <c r="A50" s="16" t="s">
        <v>86</v>
      </c>
      <c r="B50" s="33" t="s">
        <v>131</v>
      </c>
      <c r="C50" s="16" t="s">
        <v>33</v>
      </c>
      <c r="D50" s="115">
        <v>1660</v>
      </c>
      <c r="E50" s="98">
        <v>0</v>
      </c>
      <c r="F50" s="77">
        <f t="shared" ref="F50" si="2">D50*E50</f>
        <v>0</v>
      </c>
      <c r="G50" s="21"/>
    </row>
    <row r="51" spans="1:7">
      <c r="A51" s="16" t="s">
        <v>87</v>
      </c>
      <c r="B51" s="33" t="s">
        <v>131</v>
      </c>
      <c r="C51" s="16" t="s">
        <v>35</v>
      </c>
      <c r="D51" s="115">
        <v>1660</v>
      </c>
      <c r="E51" s="98">
        <v>0</v>
      </c>
      <c r="F51" s="77">
        <f t="shared" ref="F51:F68" si="3">D51*E51</f>
        <v>0</v>
      </c>
      <c r="G51" s="21"/>
    </row>
    <row r="52" spans="1:7" s="13" customFormat="1" ht="15">
      <c r="A52" s="17" t="s">
        <v>88</v>
      </c>
      <c r="B52" s="33" t="s">
        <v>131</v>
      </c>
      <c r="C52" s="16" t="s">
        <v>83</v>
      </c>
      <c r="D52" s="115">
        <v>1660</v>
      </c>
      <c r="E52" s="98">
        <v>0</v>
      </c>
      <c r="F52" s="77">
        <f t="shared" si="3"/>
        <v>0</v>
      </c>
    </row>
    <row r="53" spans="1:7" s="13" customFormat="1" ht="15">
      <c r="A53" s="17" t="s">
        <v>135</v>
      </c>
      <c r="B53" s="33" t="s">
        <v>131</v>
      </c>
      <c r="C53" s="16" t="s">
        <v>136</v>
      </c>
      <c r="D53" s="115">
        <v>1660</v>
      </c>
      <c r="E53" s="98">
        <v>0</v>
      </c>
      <c r="F53" s="77">
        <f t="shared" si="3"/>
        <v>0</v>
      </c>
    </row>
    <row r="54" spans="1:7" s="13" customFormat="1" ht="15">
      <c r="A54" s="17" t="s">
        <v>89</v>
      </c>
      <c r="B54" s="33" t="s">
        <v>131</v>
      </c>
      <c r="C54" s="16" t="s">
        <v>37</v>
      </c>
      <c r="D54" s="115">
        <v>1660</v>
      </c>
      <c r="E54" s="98">
        <v>0</v>
      </c>
      <c r="F54" s="77">
        <f t="shared" si="3"/>
        <v>0</v>
      </c>
    </row>
    <row r="55" spans="1:7" s="13" customFormat="1" ht="15">
      <c r="A55" s="5" t="s">
        <v>90</v>
      </c>
      <c r="B55" s="29" t="s">
        <v>131</v>
      </c>
      <c r="C55" s="11" t="s">
        <v>39</v>
      </c>
      <c r="D55" s="115">
        <v>1660</v>
      </c>
      <c r="E55" s="98">
        <v>0</v>
      </c>
      <c r="F55" s="77">
        <f t="shared" si="3"/>
        <v>0</v>
      </c>
    </row>
    <row r="56" spans="1:7" s="13" customFormat="1" ht="15">
      <c r="A56" s="9" t="s">
        <v>91</v>
      </c>
      <c r="B56" s="29" t="s">
        <v>131</v>
      </c>
      <c r="C56" s="11" t="s">
        <v>41</v>
      </c>
      <c r="D56" s="115">
        <v>1660</v>
      </c>
      <c r="E56" s="98">
        <v>0</v>
      </c>
      <c r="F56" s="77">
        <f t="shared" si="3"/>
        <v>0</v>
      </c>
    </row>
    <row r="57" spans="1:7">
      <c r="A57" s="17" t="s">
        <v>92</v>
      </c>
      <c r="B57" s="29" t="s">
        <v>131</v>
      </c>
      <c r="C57" s="17" t="s">
        <v>43</v>
      </c>
      <c r="D57" s="115">
        <v>1660</v>
      </c>
      <c r="E57" s="98">
        <v>0</v>
      </c>
      <c r="F57" s="77">
        <f t="shared" si="3"/>
        <v>0</v>
      </c>
    </row>
    <row r="58" spans="1:7">
      <c r="A58" s="4" t="s">
        <v>93</v>
      </c>
      <c r="B58" s="29" t="s">
        <v>131</v>
      </c>
      <c r="C58" s="17" t="s">
        <v>45</v>
      </c>
      <c r="D58" s="115">
        <v>1660</v>
      </c>
      <c r="E58" s="98">
        <v>0</v>
      </c>
      <c r="F58" s="77">
        <f t="shared" si="3"/>
        <v>0</v>
      </c>
    </row>
    <row r="59" spans="1:7">
      <c r="A59" s="9" t="s">
        <v>94</v>
      </c>
      <c r="B59" s="30" t="s">
        <v>132</v>
      </c>
      <c r="C59" s="24" t="s">
        <v>73</v>
      </c>
      <c r="D59" s="115">
        <v>1660</v>
      </c>
      <c r="E59" s="98">
        <v>0</v>
      </c>
      <c r="F59" s="77">
        <f t="shared" si="3"/>
        <v>0</v>
      </c>
    </row>
    <row r="60" spans="1:7">
      <c r="A60" s="4" t="s">
        <v>95</v>
      </c>
      <c r="B60" s="29" t="s">
        <v>131</v>
      </c>
      <c r="C60" s="17" t="s">
        <v>49</v>
      </c>
      <c r="D60" s="115">
        <v>1660</v>
      </c>
      <c r="E60" s="98">
        <v>0</v>
      </c>
      <c r="F60" s="77">
        <f t="shared" si="3"/>
        <v>0</v>
      </c>
    </row>
    <row r="61" spans="1:7">
      <c r="A61" s="4" t="s">
        <v>96</v>
      </c>
      <c r="B61" s="29" t="s">
        <v>131</v>
      </c>
      <c r="C61" s="17" t="s">
        <v>51</v>
      </c>
      <c r="D61" s="115">
        <v>1660</v>
      </c>
      <c r="E61" s="98">
        <v>0</v>
      </c>
      <c r="F61" s="77">
        <f t="shared" si="3"/>
        <v>0</v>
      </c>
    </row>
    <row r="62" spans="1:7">
      <c r="A62" s="4" t="s">
        <v>97</v>
      </c>
      <c r="B62" s="29" t="s">
        <v>131</v>
      </c>
      <c r="C62" s="17" t="s">
        <v>56</v>
      </c>
      <c r="D62" s="115">
        <v>1660</v>
      </c>
      <c r="E62" s="98">
        <v>0</v>
      </c>
      <c r="F62" s="77">
        <f t="shared" si="3"/>
        <v>0</v>
      </c>
    </row>
    <row r="63" spans="1:7">
      <c r="A63" s="5" t="s">
        <v>98</v>
      </c>
      <c r="B63" s="29" t="s">
        <v>131</v>
      </c>
      <c r="C63" s="17" t="s">
        <v>60</v>
      </c>
      <c r="D63" s="115">
        <v>1660</v>
      </c>
      <c r="E63" s="98">
        <v>0</v>
      </c>
      <c r="F63" s="77">
        <f t="shared" si="3"/>
        <v>0</v>
      </c>
    </row>
    <row r="64" spans="1:7">
      <c r="A64" s="17" t="s">
        <v>99</v>
      </c>
      <c r="B64" s="33" t="s">
        <v>131</v>
      </c>
      <c r="C64" s="17" t="s">
        <v>62</v>
      </c>
      <c r="D64" s="115">
        <v>1660</v>
      </c>
      <c r="E64" s="98">
        <v>0</v>
      </c>
      <c r="F64" s="77">
        <f t="shared" si="3"/>
        <v>0</v>
      </c>
    </row>
    <row r="65" spans="1:17">
      <c r="A65" s="16" t="s">
        <v>100</v>
      </c>
      <c r="B65" s="33" t="s">
        <v>131</v>
      </c>
      <c r="C65" s="17" t="s">
        <v>64</v>
      </c>
      <c r="D65" s="115">
        <v>1660</v>
      </c>
      <c r="E65" s="98">
        <v>0</v>
      </c>
      <c r="F65" s="77">
        <f t="shared" si="3"/>
        <v>0</v>
      </c>
      <c r="G65" s="12"/>
      <c r="H65" s="21"/>
      <c r="I65" s="12"/>
      <c r="J65" s="12"/>
      <c r="K65" s="12"/>
      <c r="L65" s="12"/>
      <c r="M65" s="12"/>
      <c r="N65" s="12"/>
      <c r="O65" s="12"/>
      <c r="P65" s="12"/>
      <c r="Q65" s="12"/>
    </row>
    <row r="66" spans="1:17">
      <c r="A66" s="23" t="s">
        <v>101</v>
      </c>
      <c r="B66" s="33" t="s">
        <v>131</v>
      </c>
      <c r="C66" s="17" t="s">
        <v>66</v>
      </c>
      <c r="D66" s="115">
        <v>1660</v>
      </c>
      <c r="E66" s="98">
        <v>0</v>
      </c>
      <c r="F66" s="77">
        <f t="shared" si="3"/>
        <v>0</v>
      </c>
      <c r="G66" s="12"/>
      <c r="H66" s="21"/>
      <c r="I66" s="12"/>
      <c r="J66" s="12"/>
      <c r="K66" s="12"/>
      <c r="L66" s="12"/>
      <c r="M66" s="12"/>
      <c r="N66" s="12"/>
      <c r="O66" s="12"/>
      <c r="P66" s="12"/>
      <c r="Q66" s="12"/>
    </row>
    <row r="67" spans="1:17">
      <c r="A67" s="18" t="s">
        <v>133</v>
      </c>
      <c r="B67" s="29" t="s">
        <v>131</v>
      </c>
      <c r="C67" s="17" t="s">
        <v>134</v>
      </c>
      <c r="D67" s="115">
        <v>1660</v>
      </c>
      <c r="E67" s="98">
        <v>0</v>
      </c>
      <c r="F67" s="77">
        <f t="shared" si="3"/>
        <v>0</v>
      </c>
      <c r="G67" s="12"/>
      <c r="H67" s="21"/>
      <c r="I67" s="12"/>
      <c r="J67" s="12"/>
      <c r="K67" s="12"/>
      <c r="L67" s="12"/>
      <c r="M67" s="12"/>
      <c r="N67" s="12"/>
      <c r="O67" s="12"/>
      <c r="P67" s="12"/>
      <c r="Q67" s="12"/>
    </row>
    <row r="68" spans="1:17">
      <c r="A68" s="18" t="s">
        <v>102</v>
      </c>
      <c r="B68" s="29" t="s">
        <v>131</v>
      </c>
      <c r="C68" s="17" t="s">
        <v>68</v>
      </c>
      <c r="D68" s="115">
        <v>1660</v>
      </c>
      <c r="E68" s="98">
        <v>0</v>
      </c>
      <c r="F68" s="77">
        <f t="shared" si="3"/>
        <v>0</v>
      </c>
      <c r="G68" s="12"/>
      <c r="H68" s="21"/>
      <c r="I68" s="12"/>
      <c r="J68" s="12"/>
      <c r="K68" s="12"/>
      <c r="L68" s="12"/>
      <c r="M68" s="12"/>
      <c r="N68" s="12"/>
      <c r="O68" s="12"/>
      <c r="P68" s="12"/>
      <c r="Q68" s="12"/>
    </row>
    <row r="69" spans="1:17">
      <c r="A69" s="4"/>
      <c r="B69" s="5"/>
      <c r="C69" s="4"/>
      <c r="D69" s="55"/>
      <c r="E69" s="98"/>
      <c r="F69" s="77"/>
    </row>
    <row r="70" spans="1:17">
      <c r="A70" s="4"/>
      <c r="B70" s="5"/>
      <c r="C70" s="4"/>
      <c r="D70" s="96"/>
      <c r="E70" s="98"/>
      <c r="F70" s="77"/>
    </row>
    <row r="71" spans="1:17">
      <c r="A71" s="91"/>
      <c r="B71" s="91"/>
      <c r="C71" s="91"/>
      <c r="D71" s="92"/>
      <c r="E71" s="93" t="s">
        <v>190</v>
      </c>
      <c r="F71" s="94">
        <f>SUM(F22:F68)</f>
        <v>0</v>
      </c>
    </row>
  </sheetData>
  <pageMargins left="0.75" right="0.75" top="1" bottom="1" header="0.5" footer="0.5"/>
  <pageSetup paperSize="9" scale="47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SpotOn Media &amp; Epson Inks</vt:lpstr>
      <vt:lpstr>CGS Flexpak Web Inks &amp; Media</vt:lpstr>
      <vt:lpstr>JetComp Solvent Media</vt:lpstr>
      <vt:lpstr>'CGS Flexpak Web Inks &amp; Media'!Print_Area</vt:lpstr>
      <vt:lpstr>'JetComp Solvent Media'!Print_Area</vt:lpstr>
      <vt:lpstr>'SpotOn Media &amp; Epson Inks'!Print_Area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Bartrop-Braybon, Eloise</cp:lastModifiedBy>
  <dcterms:created xsi:type="dcterms:W3CDTF">2018-11-05T02:54:34Z</dcterms:created>
  <dcterms:modified xsi:type="dcterms:W3CDTF">2026-02-02T03:31:13Z</dcterms:modified>
</cp:coreProperties>
</file>